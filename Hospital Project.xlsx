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bhin_lhoqwhi\OneDrive\Desktop\Power BI (Anubhav Project\Hospital Project\"/>
    </mc:Choice>
  </mc:AlternateContent>
  <xr:revisionPtr revIDLastSave="0" documentId="13_ncr:1_{4CC94848-F637-45CD-BFB1-4043F7C934F7}" xr6:coauthVersionLast="47" xr6:coauthVersionMax="47" xr10:uidLastSave="{00000000-0000-0000-0000-000000000000}"/>
  <bookViews>
    <workbookView xWindow="-120" yWindow="-120" windowWidth="29040" windowHeight="15720" activeTab="1" xr2:uid="{DCBC40DA-7190-4590-AB63-BC9D83D4838A}"/>
  </bookViews>
  <sheets>
    <sheet name="Pivot Report" sheetId="1" r:id="rId1"/>
    <sheet name="Dashboard" sheetId="2" r:id="rId2"/>
  </sheets>
  <definedNames>
    <definedName name="Slicer_Date__Month">#N/A</definedName>
    <definedName name="Slicer_Date__Year">#N/A</definedName>
  </definedNames>
  <calcPr calcId="191029"/>
  <pivotCaches>
    <pivotCache cacheId="195" r:id="rId3"/>
    <pivotCache cacheId="198" r:id="rId4"/>
    <pivotCache cacheId="201" r:id="rId5"/>
    <pivotCache cacheId="204" r:id="rId6"/>
    <pivotCache cacheId="207" r:id="rId7"/>
    <pivotCache cacheId="210" r:id="rId8"/>
    <pivotCache cacheId="213" r:id="rId9"/>
    <pivotCache cacheId="216" r:id="rId10"/>
    <pivotCache cacheId="219" r:id="rId11"/>
    <pivotCache cacheId="222" r:id="rId12"/>
    <pivotCache cacheId="225" r:id="rId13"/>
    <pivotCache cacheId="228"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9180883-5962-42db-8b1b-e2875231373e" name="Hospital Emergency Room Data" connection="Query - Hospital Emergency Room Data"/>
          <x15:modelTable id="Calender_Table_d7243901-99d4-430d-81fa-4c9904046673"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 r="B46" i="1"/>
  <c r="A46" i="1"/>
  <c r="B45" i="1"/>
  <c r="C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F97044-725E-4473-87E3-D7CD39076EA6}" name="Query - Calender_Table" description="Connection to the 'Calender_Table' query in the workbook." type="100" refreshedVersion="8" minRefreshableVersion="5">
    <extLst>
      <ext xmlns:x15="http://schemas.microsoft.com/office/spreadsheetml/2010/11/main" uri="{DE250136-89BD-433C-8126-D09CA5730AF9}">
        <x15:connection id="4fac3e2e-1e12-4cc8-9778-b89bf728a447"/>
      </ext>
    </extLst>
  </connection>
  <connection id="2" xr16:uid="{1AFCB3FE-697C-469A-936D-5CBD20E75A5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58c2269-50c1-4078-af05-c7925c1a01ca"/>
      </ext>
    </extLst>
  </connection>
  <connection id="3" xr16:uid="{B37A3577-3548-425B-A395-88B4169643E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<sst xmlns="http://schemas.openxmlformats.org/spreadsheetml/2006/main" count="155" uniqueCount="74">
  <si>
    <t>Distinct Count of Patient Id</t>
  </si>
  <si>
    <t>No. of patient</t>
  </si>
  <si>
    <t>Average of Patient Waittime</t>
  </si>
  <si>
    <t>Average of Patient Satisfaction Score</t>
  </si>
  <si>
    <t>Row Labels</t>
  </si>
  <si>
    <t>Grand Total</t>
  </si>
  <si>
    <t>daily trend of no of patinet</t>
  </si>
  <si>
    <t>average wait time</t>
  </si>
  <si>
    <t>satisfaction score daily trend</t>
  </si>
  <si>
    <t>Count of Patient Admission Flag</t>
  </si>
  <si>
    <t>Admitted</t>
  </si>
  <si>
    <t>Not Admitted</t>
  </si>
  <si>
    <t>Count of Patient Admission Flag2</t>
  </si>
  <si>
    <t>Admission Status</t>
  </si>
  <si>
    <t>% Status</t>
  </si>
  <si>
    <t>Patient</t>
  </si>
  <si>
    <t>0-09</t>
  </si>
  <si>
    <t>10-19</t>
  </si>
  <si>
    <t>20-29</t>
  </si>
  <si>
    <t>30-39</t>
  </si>
  <si>
    <t>40-49</t>
  </si>
  <si>
    <t>50-59</t>
  </si>
  <si>
    <t>60-69</t>
  </si>
  <si>
    <t>70-79</t>
  </si>
  <si>
    <t>Count of Age Group</t>
  </si>
  <si>
    <t>age grp wise</t>
  </si>
  <si>
    <t>Delay</t>
  </si>
  <si>
    <t>Ontime</t>
  </si>
  <si>
    <t>Count of Patient 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</si>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</sst>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 borderId="0" xfId="0" applyFill="1" applyAlignment="1">
      <alignment horizontal="center"/>
    </xf>
    <xf numFmtId="9" fontId="1" fillId="3" borderId="0" xfId="1" applyFont="1" applyFill="1" applyAlignment="1">
      <alignment horizontal="center"/>
    </xf>
    <xf numFmtId="0" fontId="0" fillId="4" borderId="0" xfId="0" applyFill="1" applyAlignment="1">
      <alignment horizontal="center"/>
    </xf>
    <xf numFmtId="1" fontId="0" fillId="0" borderId="0" xfId="0" applyNumberFormat="1"/>
    <xf numFmtId="0" fontId="0" fillId="0" borderId="0" xfId="0" applyNumberFormat="1"/>
  </cellXfs>
  <cellStyles count="2">
    <cellStyle name="Normal" xfId="0" builtinId="0"/>
    <cellStyle name="Percent" xfId="1" builtinId="5"/>
  </cellStyles>
  <dxfs count="81">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
    </dxf>
    <dxf>
      <numFmt numFmtId="164" formatCode="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64" formatCode="0.0"/>
    </dxf>
    <dxf>
      <numFmt numFmtId="164" formatCode="0.0"/>
    </dxf>
    <dxf>
      <numFmt numFmtId="14" formatCode="0.00%"/>
    </dxf>
    <dxf>
      <numFmt numFmtId="2" formatCode="0.00"/>
    </dxf>
    <dxf>
      <numFmt numFmtId="1" formatCode="0"/>
    </dxf>
    <dxf>
      <numFmt numFmtId="1" formatCode="0"/>
    </dxf>
    <dxf>
      <font>
        <strike val="0"/>
        <sz val="8"/>
        <name val="Calibri"/>
        <family val="2"/>
        <scheme val="minor"/>
      </font>
      <fill>
        <patternFill patternType="lightGray">
          <bgColor rgb="FF92D050"/>
        </patternFill>
      </fill>
      <border>
        <left style="thin">
          <color auto="1"/>
        </left>
        <right style="thin">
          <color auto="1"/>
        </right>
        <top style="thin">
          <color auto="1"/>
        </top>
        <bottom style="thin">
          <color auto="1"/>
        </bottom>
      </border>
    </dxf>
    <dxf>
      <font>
        <b/>
        <i val="0"/>
        <sz val="8"/>
      </font>
      <fill>
        <patternFill patternType="solid">
          <bgColor theme="9" tint="0.79998168889431442"/>
        </patternFill>
      </fill>
      <border>
        <left style="thin">
          <color auto="1"/>
        </left>
        <right style="thin">
          <color auto="1"/>
        </right>
        <top style="thin">
          <color auto="1"/>
        </top>
        <bottom style="thin">
          <color auto="1"/>
        </bottom>
      </border>
    </dxf>
    <dxf>
      <font>
        <b/>
        <color theme="1"/>
      </font>
      <border>
        <bottom style="thin">
          <color theme="4"/>
        </bottom>
        <vertical/>
        <horizontal/>
      </border>
    </dxf>
    <dxf>
      <font>
        <sz val="10"/>
        <color theme="1"/>
      </font>
      <fill>
        <patternFill>
          <bgColor theme="9" tint="0.59996337778862885"/>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my style" pivot="0" table="0" count="10" xr9:uid="{2D802F11-B85C-49CE-B647-D9498D097C4E}">
      <tableStyleElement type="wholeTable" dxfId="80"/>
      <tableStyleElement type="headerRow" dxfId="79"/>
    </tableStyle>
    <tableStyle name="Slicer Style 1" pivot="0" table="0" count="1" xr9:uid="{74E72DED-00F2-4EA0-90AB-40D0DECDE861}">
      <tableStyleElement type="wholeTable" dxfId="78"/>
    </tableStyle>
    <tableStyle name="Slicer Style 2" pivot="0" table="0" count="2" xr9:uid="{2FEFEB56-9700-44B1-ADF4-BDD271075047}">
      <tableStyleElement type="wholeTable" dxfId="77"/>
    </tableStyle>
  </tableStyles>
  <colors>
    <mruColors>
      <color rgb="FFF193E4"/>
    </mruColors>
  </colors>
  <extLst>
    <ext xmlns:x14="http://schemas.microsoft.com/office/spreadsheetml/2009/9/main" uri="{46F421CA-312F-682f-3DD2-61675219B42D}">
      <x14:dxfs count="9">
        <dxf>
          <fill>
            <patternFill>
              <bgColor theme="9" tint="0.59996337778862885"/>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fld id="{7FFF3628-5C79-4AB4-81DD-61DEF7F929F2}" type="CELLRANGE">
                  <a:rPr lang="en-US" sz="600"/>
                  <a:pPr>
                    <a:defRPr sz="800"/>
                  </a:pPr>
                  <a:t>[CELLRANGE]</a:t>
                </a:fld>
                <a:endParaRPr lang="en-IN"/>
              </a:p>
            </c:rich>
          </c:tx>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fld id="{86E315F4-BCB9-4504-AA70-FED9ADD3E3F9}" type="CELLRANGE">
                  <a:rPr lang="en-US" sz="600"/>
                  <a:pPr>
                    <a:defRPr sz="800"/>
                  </a:pPr>
                  <a:t>[CELLRANGE]</a:t>
                </a:fld>
                <a:endParaRPr lang="en-IN"/>
              </a:p>
            </c:rich>
          </c:tx>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2.8113082250260886E-2"/>
          <c:y val="0.22180064701214675"/>
          <c:w val="0.74671372974929862"/>
          <c:h val="0.65986394557823125"/>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269-4B28-9A73-4D132CA7BB8F}"/>
              </c:ext>
            </c:extLst>
          </c:dPt>
          <c:dPt>
            <c:idx val="1"/>
            <c:invertIfNegative val="0"/>
            <c:bubble3D val="0"/>
            <c:extLst>
              <c:ext xmlns:c16="http://schemas.microsoft.com/office/drawing/2014/chart" uri="{C3380CC4-5D6E-409C-BE32-E72D297353CC}">
                <c16:uniqueId val="{00000001-2269-4B28-9A73-4D132CA7BB8F}"/>
              </c:ext>
            </c:extLst>
          </c:dPt>
          <c:dLbls>
            <c:dLbl>
              <c:idx val="0"/>
              <c:tx>
                <c:rich>
                  <a:bodyPr/>
                  <a:lstStyle/>
                  <a:p>
                    <a:fld id="{7FFF3628-5C79-4AB4-81DD-61DEF7F929F2}" type="CELLRANGE">
                      <a:rPr lang="en-US" sz="6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269-4B28-9A73-4D132CA7BB8F}"/>
                </c:ext>
              </c:extLst>
            </c:dLbl>
            <c:dLbl>
              <c:idx val="1"/>
              <c:tx>
                <c:rich>
                  <a:bodyPr/>
                  <a:lstStyle/>
                  <a:p>
                    <a:fld id="{86E315F4-BCB9-4504-AA70-FED9ADD3E3F9}" type="CELLRANGE">
                      <a:rPr lang="en-US" sz="6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269-4B28-9A73-4D132CA7BB8F}"/>
                </c:ext>
              </c:extLst>
            </c:dLbl>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0.00</c:formatCode>
                <c:ptCount val="2"/>
                <c:pt idx="0">
                  <c:v>269</c:v>
                </c:pt>
                <c:pt idx="1">
                  <c:v>244</c:v>
                </c:pt>
              </c:numCache>
            </c:numRef>
          </c:val>
          <c:extLst>
            <c:ext xmlns:c16="http://schemas.microsoft.com/office/drawing/2014/chart" uri="{C3380CC4-5D6E-409C-BE32-E72D297353CC}">
              <c16:uniqueId val="{00000005-5BFF-4615-B8E5-D53EFC926704}"/>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0.52436647173489281</c:v>
                </c:pt>
                <c:pt idx="1">
                  <c:v>0.47563352826510719</c:v>
                </c:pt>
              </c:numCache>
            </c:numRef>
          </c:val>
          <c:extLst>
            <c:ext xmlns:c16="http://schemas.microsoft.com/office/drawing/2014/chart" uri="{C3380CC4-5D6E-409C-BE32-E72D297353CC}">
              <c16:uniqueId val="{00000006-5BFF-4615-B8E5-D53EFC926704}"/>
            </c:ext>
          </c:extLst>
        </c:ser>
        <c:dLbls>
          <c:showLegendKey val="0"/>
          <c:showVal val="0"/>
          <c:showCatName val="0"/>
          <c:showSerName val="0"/>
          <c:showPercent val="0"/>
          <c:showBubbleSize val="0"/>
        </c:dLbls>
        <c:gapWidth val="0"/>
        <c:axId val="1536744016"/>
        <c:axId val="1536744496"/>
      </c:barChart>
      <c:catAx>
        <c:axId val="1536744016"/>
        <c:scaling>
          <c:orientation val="minMax"/>
        </c:scaling>
        <c:delete val="1"/>
        <c:axPos val="l"/>
        <c:numFmt formatCode="General" sourceLinked="1"/>
        <c:majorTickMark val="none"/>
        <c:minorTickMark val="none"/>
        <c:tickLblPos val="nextTo"/>
        <c:crossAx val="1536744496"/>
        <c:crosses val="autoZero"/>
        <c:auto val="1"/>
        <c:lblAlgn val="ctr"/>
        <c:lblOffset val="100"/>
        <c:noMultiLvlLbl val="0"/>
      </c:catAx>
      <c:valAx>
        <c:axId val="1536744496"/>
        <c:scaling>
          <c:orientation val="minMax"/>
        </c:scaling>
        <c:delete val="1"/>
        <c:axPos val="b"/>
        <c:numFmt formatCode="0.00" sourceLinked="1"/>
        <c:majorTickMark val="none"/>
        <c:minorTickMark val="none"/>
        <c:tickLblPos val="nextTo"/>
        <c:crossAx val="15367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FD-461F-A489-274C62F677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FD-461F-A489-274C62F67780}"/>
              </c:ext>
            </c:extLst>
          </c:dPt>
          <c:cat>
            <c:strRef>
              <c:f>'Pivot Report'!$A$63:$A$65</c:f>
              <c:strCache>
                <c:ptCount val="2"/>
                <c:pt idx="0">
                  <c:v>Delay</c:v>
                </c:pt>
                <c:pt idx="1">
                  <c:v>Ontime</c:v>
                </c:pt>
              </c:strCache>
            </c:strRef>
          </c:cat>
          <c:val>
            <c:numRef>
              <c:f>'Pivot Report'!$B$63:$B$65</c:f>
              <c:numCache>
                <c:formatCode>0</c:formatCode>
                <c:ptCount val="2"/>
                <c:pt idx="0">
                  <c:v>316</c:v>
                </c:pt>
                <c:pt idx="1">
                  <c:v>197</c:v>
                </c:pt>
              </c:numCache>
            </c:numRef>
          </c:val>
          <c:extLst>
            <c:ext xmlns:c16="http://schemas.microsoft.com/office/drawing/2014/chart" uri="{C3380CC4-5D6E-409C-BE32-E72D297353CC}">
              <c16:uniqueId val="{00000005-FC2E-4EAD-94CF-1FAC756B1A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504492008279806E-2"/>
          <c:w val="0.95279702014910861"/>
          <c:h val="0.53306587567486818"/>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BB78-4F1F-B08B-DDA767180E0D}"/>
            </c:ext>
          </c:extLst>
        </c:ser>
        <c:dLbls>
          <c:showLegendKey val="0"/>
          <c:showVal val="0"/>
          <c:showCatName val="0"/>
          <c:showSerName val="0"/>
          <c:showPercent val="0"/>
          <c:showBubbleSize val="0"/>
        </c:dLbls>
        <c:axId val="520375584"/>
        <c:axId val="520376064"/>
      </c:areaChart>
      <c:catAx>
        <c:axId val="520375584"/>
        <c:scaling>
          <c:orientation val="minMax"/>
        </c:scaling>
        <c:delete val="1"/>
        <c:axPos val="b"/>
        <c:numFmt formatCode="General" sourceLinked="1"/>
        <c:majorTickMark val="out"/>
        <c:minorTickMark val="none"/>
        <c:tickLblPos val="nextTo"/>
        <c:crossAx val="520376064"/>
        <c:crosses val="autoZero"/>
        <c:auto val="1"/>
        <c:lblAlgn val="ctr"/>
        <c:lblOffset val="100"/>
        <c:noMultiLvlLbl val="0"/>
      </c:catAx>
      <c:valAx>
        <c:axId val="5203760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0375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37231427776371E-3"/>
          <c:y val="1.759322202945415E-2"/>
          <c:w val="0.97589533787613236"/>
          <c:h val="0.66861330344699055"/>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Report'!$H$4:$H$35</c:f>
              <c:numCache>
                <c:formatCode>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DA1E-4A45-A875-ECAFBE2070FC}"/>
            </c:ext>
          </c:extLst>
        </c:ser>
        <c:dLbls>
          <c:showLegendKey val="0"/>
          <c:showVal val="0"/>
          <c:showCatName val="0"/>
          <c:showSerName val="0"/>
          <c:showPercent val="0"/>
          <c:showBubbleSize val="0"/>
        </c:dLbls>
        <c:axId val="1469207712"/>
        <c:axId val="1469193792"/>
      </c:areaChart>
      <c:catAx>
        <c:axId val="1469207712"/>
        <c:scaling>
          <c:orientation val="minMax"/>
        </c:scaling>
        <c:delete val="1"/>
        <c:axPos val="b"/>
        <c:numFmt formatCode="General" sourceLinked="1"/>
        <c:majorTickMark val="out"/>
        <c:minorTickMark val="none"/>
        <c:tickLblPos val="nextTo"/>
        <c:crossAx val="1469193792"/>
        <c:crosses val="autoZero"/>
        <c:auto val="1"/>
        <c:lblAlgn val="ctr"/>
        <c:lblOffset val="100"/>
        <c:noMultiLvlLbl val="0"/>
      </c:catAx>
      <c:valAx>
        <c:axId val="1469193792"/>
        <c:scaling>
          <c:orientation val="minMax"/>
        </c:scaling>
        <c:delete val="1"/>
        <c:axPos val="l"/>
        <c:majorGridlines>
          <c:spPr>
            <a:ln w="9525" cap="flat" cmpd="sng" algn="ctr">
              <a:noFill/>
              <a:round/>
            </a:ln>
            <a:effectLst/>
          </c:spPr>
        </c:majorGridlines>
        <c:numFmt formatCode="0.0" sourceLinked="1"/>
        <c:majorTickMark val="none"/>
        <c:minorTickMark val="none"/>
        <c:tickLblPos val="nextTo"/>
        <c:crossAx val="1469207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30693769860397E-2"/>
          <c:y val="9.3796077142897699E-2"/>
          <c:w val="0.82253861246027915"/>
          <c:h val="0.52955993480515628"/>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Report'!$K$4:$K$35</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3742-4E3A-932D-6AAA055ED71B}"/>
            </c:ext>
          </c:extLst>
        </c:ser>
        <c:dLbls>
          <c:showLegendKey val="0"/>
          <c:showVal val="0"/>
          <c:showCatName val="0"/>
          <c:showSerName val="0"/>
          <c:showPercent val="0"/>
          <c:showBubbleSize val="0"/>
        </c:dLbls>
        <c:axId val="1738988512"/>
        <c:axId val="1738986112"/>
      </c:areaChart>
      <c:catAx>
        <c:axId val="1738988512"/>
        <c:scaling>
          <c:orientation val="minMax"/>
        </c:scaling>
        <c:delete val="1"/>
        <c:axPos val="b"/>
        <c:numFmt formatCode="General" sourceLinked="1"/>
        <c:majorTickMark val="out"/>
        <c:minorTickMark val="none"/>
        <c:tickLblPos val="nextTo"/>
        <c:crossAx val="1738986112"/>
        <c:crosses val="autoZero"/>
        <c:auto val="1"/>
        <c:lblAlgn val="ctr"/>
        <c:lblOffset val="100"/>
        <c:noMultiLvlLbl val="0"/>
      </c:catAx>
      <c:valAx>
        <c:axId val="173898611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738988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19678947124698E-2"/>
          <c:y val="4.6299682048817521E-3"/>
          <c:w val="0.93888888888888888"/>
          <c:h val="0.8416746864975212"/>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7EE2-4B09-A5EA-1CF1B5F1D68F}"/>
            </c:ext>
          </c:extLst>
        </c:ser>
        <c:dLbls>
          <c:showLegendKey val="0"/>
          <c:showVal val="0"/>
          <c:showCatName val="0"/>
          <c:showSerName val="0"/>
          <c:showPercent val="0"/>
          <c:showBubbleSize val="0"/>
        </c:dLbls>
        <c:gapWidth val="111"/>
        <c:overlap val="-4"/>
        <c:axId val="1469190432"/>
        <c:axId val="1469184672"/>
      </c:barChart>
      <c:catAx>
        <c:axId val="146919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84672"/>
        <c:crosses val="autoZero"/>
        <c:auto val="1"/>
        <c:lblAlgn val="ctr"/>
        <c:lblOffset val="100"/>
        <c:noMultiLvlLbl val="0"/>
      </c:catAx>
      <c:valAx>
        <c:axId val="1469184672"/>
        <c:scaling>
          <c:orientation val="minMax"/>
        </c:scaling>
        <c:delete val="1"/>
        <c:axPos val="l"/>
        <c:numFmt formatCode="0" sourceLinked="1"/>
        <c:majorTickMark val="none"/>
        <c:minorTickMark val="none"/>
        <c:tickLblPos val="nextTo"/>
        <c:crossAx val="14691904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202152657628525"/>
          <c:y val="1.3840279156262734E-2"/>
          <c:w val="0.4193837599491923"/>
          <c:h val="0.87559071707916747"/>
        </c:manualLayout>
      </c:layout>
      <c:pieChart>
        <c:varyColors val="1"/>
        <c:ser>
          <c:idx val="0"/>
          <c:order val="0"/>
          <c:tx>
            <c:strRef>
              <c:f>'Pivot Report'!$B$62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D5-4E4A-9955-CAB831FD4E7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D5-4E4A-9955-CAB831FD4E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316</c:v>
                </c:pt>
                <c:pt idx="1">
                  <c:v>197</c:v>
                </c:pt>
              </c:numCache>
            </c:numRef>
          </c:val>
          <c:extLst>
            <c:ext xmlns:c16="http://schemas.microsoft.com/office/drawing/2014/chart" uri="{C3380CC4-5D6E-409C-BE32-E72D297353CC}">
              <c16:uniqueId val="{00000006-0583-4B33-82A1-F391C91ECA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52081704411776353"/>
          <c:y val="2.2113800752913974E-2"/>
          <c:w val="0.30299683764088714"/>
          <c:h val="0.14652308367374656"/>
        </c:manualLayout>
      </c:layout>
      <c:overlay val="0"/>
      <c:spPr>
        <a:solidFill>
          <a:schemeClr val="lt1">
            <a:alpha val="78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Report!PivotTable12</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193E4"/>
          </a:solidFill>
          <a:ln w="19050">
            <a:solidFill>
              <a:schemeClr val="lt1"/>
            </a:solidFill>
          </a:ln>
          <a:effectLst/>
        </c:spPr>
      </c:pivotFmt>
      <c:pivotFmt>
        <c:idx val="6"/>
        <c:spPr>
          <a:solidFill>
            <a:schemeClr val="accent5">
              <a:lumMod val="75000"/>
            </a:schemeClr>
          </a:solidFill>
          <a:ln w="19050">
            <a:solidFill>
              <a:schemeClr val="lt1"/>
            </a:solidFill>
          </a:ln>
          <a:effectLst/>
        </c:spPr>
      </c:pivotFmt>
    </c:pivotFmts>
    <c:plotArea>
      <c:layout>
        <c:manualLayout>
          <c:layoutTarget val="inner"/>
          <c:xMode val="edge"/>
          <c:yMode val="edge"/>
          <c:x val="6.8928688664421714E-2"/>
          <c:y val="0.11882177980502001"/>
          <c:w val="0.61967045937218068"/>
          <c:h val="0.87552004020426477"/>
        </c:manualLayout>
      </c:layout>
      <c:doughnutChart>
        <c:varyColors val="1"/>
        <c:ser>
          <c:idx val="0"/>
          <c:order val="0"/>
          <c:tx>
            <c:strRef>
              <c:f>'Pivot Report'!$B$68</c:f>
              <c:strCache>
                <c:ptCount val="1"/>
                <c:pt idx="0">
                  <c:v>Total</c:v>
                </c:pt>
              </c:strCache>
            </c:strRef>
          </c:tx>
          <c:dPt>
            <c:idx val="0"/>
            <c:bubble3D val="0"/>
            <c:spPr>
              <a:solidFill>
                <a:srgbClr val="F193E4"/>
              </a:solidFill>
              <a:ln w="19050">
                <a:solidFill>
                  <a:schemeClr val="lt1"/>
                </a:solidFill>
              </a:ln>
              <a:effectLst/>
            </c:spPr>
            <c:extLst>
              <c:ext xmlns:c16="http://schemas.microsoft.com/office/drawing/2014/chart" uri="{C3380CC4-5D6E-409C-BE32-E72D297353CC}">
                <c16:uniqueId val="{00000001-0935-4D88-9E69-6FA89E2AEA8C}"/>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0935-4D88-9E69-6FA89E2AEA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241</c:v>
                </c:pt>
                <c:pt idx="1">
                  <c:v>272</c:v>
                </c:pt>
              </c:numCache>
            </c:numRef>
          </c:val>
          <c:extLst>
            <c:ext xmlns:c16="http://schemas.microsoft.com/office/drawing/2014/chart" uri="{C3380CC4-5D6E-409C-BE32-E72D297353CC}">
              <c16:uniqueId val="{00000006-4F4A-4A97-83BF-2487159C1FB4}"/>
            </c:ext>
          </c:extLst>
        </c:ser>
        <c:dLbls>
          <c:showLegendKey val="0"/>
          <c:showVal val="0"/>
          <c:showCatName val="0"/>
          <c:showSerName val="0"/>
          <c:showPercent val="0"/>
          <c:showBubbleSize val="0"/>
          <c:showLeaderLines val="1"/>
        </c:dLbls>
        <c:firstSliceAng val="205"/>
        <c:holeSize val="48"/>
      </c:doughnutChart>
      <c:spPr>
        <a:noFill/>
        <a:ln>
          <a:noFill/>
        </a:ln>
        <a:effectLst/>
      </c:spPr>
    </c:plotArea>
    <c:legend>
      <c:legendPos val="r"/>
      <c:layout>
        <c:manualLayout>
          <c:xMode val="edge"/>
          <c:yMode val="edge"/>
          <c:x val="0.63834779921373963"/>
          <c:y val="0.11626021050005025"/>
          <c:w val="0.32362087015684482"/>
          <c:h val="0.37136242813228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Report'!$A$75:$A$83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Report'!$B$75:$B$83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5787-4CF4-9242-870546C871D9}"/>
            </c:ext>
          </c:extLst>
        </c:ser>
        <c:dLbls>
          <c:showLegendKey val="0"/>
          <c:showVal val="0"/>
          <c:showCatName val="0"/>
          <c:showSerName val="0"/>
          <c:showPercent val="0"/>
          <c:showBubbleSize val="0"/>
        </c:dLbls>
        <c:gapWidth val="22"/>
        <c:overlap val="21"/>
        <c:axId val="1529741888"/>
        <c:axId val="1529739968"/>
      </c:barChart>
      <c:catAx>
        <c:axId val="152974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39968"/>
        <c:crosses val="autoZero"/>
        <c:auto val="1"/>
        <c:lblAlgn val="ctr"/>
        <c:lblOffset val="100"/>
        <c:noMultiLvlLbl val="0"/>
      </c:catAx>
      <c:valAx>
        <c:axId val="1529739968"/>
        <c:scaling>
          <c:orientation val="minMax"/>
        </c:scaling>
        <c:delete val="1"/>
        <c:axPos val="b"/>
        <c:numFmt formatCode="0" sourceLinked="1"/>
        <c:majorTickMark val="none"/>
        <c:minorTickMark val="none"/>
        <c:tickLblPos val="nextTo"/>
        <c:crossAx val="1529741888"/>
        <c:crosses val="autoZero"/>
        <c:crossBetween val="between"/>
      </c:valAx>
      <c:spPr>
        <a:noFill/>
        <a:ln>
          <a:noFill/>
        </a:ln>
        <a:effectLst>
          <a:glow rad="762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17" Type="http://schemas.openxmlformats.org/officeDocument/2006/relationships/image" Target="../media/image10.svg"/><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0</xdr:colOff>
      <xdr:row>43</xdr:row>
      <xdr:rowOff>19049</xdr:rowOff>
    </xdr:from>
    <xdr:to>
      <xdr:col>3</xdr:col>
      <xdr:colOff>1285875</xdr:colOff>
      <xdr:row>46</xdr:row>
      <xdr:rowOff>47624</xdr:rowOff>
    </xdr:to>
    <xdr:graphicFrame macro="">
      <xdr:nvGraphicFramePr>
        <xdr:cNvPr id="6" name="Chart 5">
          <a:extLst>
            <a:ext uri="{FF2B5EF4-FFF2-40B4-BE49-F238E27FC236}">
              <a16:creationId xmlns:a16="http://schemas.microsoft.com/office/drawing/2014/main" id="{DB8133AF-37EC-5A53-07DD-9359886E7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652462</xdr:colOff>
      <xdr:row>49</xdr:row>
      <xdr:rowOff>42862</xdr:rowOff>
    </xdr:from>
    <xdr:to>
      <xdr:col>7</xdr:col>
      <xdr:colOff>652462</xdr:colOff>
      <xdr:row>63</xdr:row>
      <xdr:rowOff>119062</xdr:rowOff>
    </xdr:to>
    <xdr:graphicFrame macro="">
      <xdr:nvGraphicFramePr>
        <xdr:cNvPr id="8" name="Chart 7">
          <a:extLst>
            <a:ext uri="{FF2B5EF4-FFF2-40B4-BE49-F238E27FC236}">
              <a16:creationId xmlns:a16="http://schemas.microsoft.com/office/drawing/2014/main" id="{B81DC251-B1D6-766C-EB7E-BF11B9AD1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50426</xdr:colOff>
      <xdr:row>0</xdr:row>
      <xdr:rowOff>67235</xdr:rowOff>
    </xdr:from>
    <xdr:to>
      <xdr:col>2</xdr:col>
      <xdr:colOff>1540809</xdr:colOff>
      <xdr:row>2</xdr:row>
      <xdr:rowOff>179294</xdr:rowOff>
    </xdr:to>
    <xdr:sp macro="" textlink="">
      <xdr:nvSpPr>
        <xdr:cNvPr id="2" name="Rectangle: Rounded Corners 1">
          <a:extLst>
            <a:ext uri="{FF2B5EF4-FFF2-40B4-BE49-F238E27FC236}">
              <a16:creationId xmlns:a16="http://schemas.microsoft.com/office/drawing/2014/main" id="{07F4CC90-9BC1-9815-B764-88C6DF1365ED}"/>
            </a:ext>
          </a:extLst>
        </xdr:cNvPr>
        <xdr:cNvSpPr/>
      </xdr:nvSpPr>
      <xdr:spPr>
        <a:xfrm>
          <a:off x="50426" y="67235"/>
          <a:ext cx="3653118" cy="49305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184898</xdr:colOff>
      <xdr:row>0</xdr:row>
      <xdr:rowOff>50426</xdr:rowOff>
    </xdr:from>
    <xdr:to>
      <xdr:col>5</xdr:col>
      <xdr:colOff>291353</xdr:colOff>
      <xdr:row>6</xdr:row>
      <xdr:rowOff>39221</xdr:rowOff>
    </xdr:to>
    <xdr:sp macro="" textlink="">
      <xdr:nvSpPr>
        <xdr:cNvPr id="4" name="Rectangle: Rounded Corners 3">
          <a:extLst>
            <a:ext uri="{FF2B5EF4-FFF2-40B4-BE49-F238E27FC236}">
              <a16:creationId xmlns:a16="http://schemas.microsoft.com/office/drawing/2014/main" id="{B636191F-6042-4036-A483-0B12EAD2E957}"/>
            </a:ext>
          </a:extLst>
        </xdr:cNvPr>
        <xdr:cNvSpPr/>
      </xdr:nvSpPr>
      <xdr:spPr>
        <a:xfrm>
          <a:off x="5233148" y="50426"/>
          <a:ext cx="1680881" cy="113179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40341</xdr:colOff>
      <xdr:row>3</xdr:row>
      <xdr:rowOff>39220</xdr:rowOff>
    </xdr:from>
    <xdr:to>
      <xdr:col>1</xdr:col>
      <xdr:colOff>0</xdr:colOff>
      <xdr:row>19</xdr:row>
      <xdr:rowOff>84044</xdr:rowOff>
    </xdr:to>
    <xdr:sp macro="" textlink="">
      <xdr:nvSpPr>
        <xdr:cNvPr id="7" name="Rectangle: Rounded Corners 6">
          <a:extLst>
            <a:ext uri="{FF2B5EF4-FFF2-40B4-BE49-F238E27FC236}">
              <a16:creationId xmlns:a16="http://schemas.microsoft.com/office/drawing/2014/main" id="{6F003AA7-28D5-4046-B6DA-191995434B41}"/>
            </a:ext>
          </a:extLst>
        </xdr:cNvPr>
        <xdr:cNvSpPr/>
      </xdr:nvSpPr>
      <xdr:spPr>
        <a:xfrm>
          <a:off x="40341" y="610720"/>
          <a:ext cx="912159" cy="3092824"/>
        </a:xfrm>
        <a:prstGeom prst="roundRect">
          <a:avLst>
            <a:gd name="adj" fmla="val 438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58270</xdr:colOff>
      <xdr:row>3</xdr:row>
      <xdr:rowOff>40341</xdr:rowOff>
    </xdr:from>
    <xdr:to>
      <xdr:col>2</xdr:col>
      <xdr:colOff>179487</xdr:colOff>
      <xdr:row>6</xdr:row>
      <xdr:rowOff>106457</xdr:rowOff>
    </xdr:to>
    <xdr:sp macro="" textlink="">
      <xdr:nvSpPr>
        <xdr:cNvPr id="8" name="Rectangle: Rounded Corners 7">
          <a:extLst>
            <a:ext uri="{FF2B5EF4-FFF2-40B4-BE49-F238E27FC236}">
              <a16:creationId xmlns:a16="http://schemas.microsoft.com/office/drawing/2014/main" id="{03C01D9E-FB40-48EE-965D-3E84BAEF5C90}"/>
            </a:ext>
          </a:extLst>
        </xdr:cNvPr>
        <xdr:cNvSpPr/>
      </xdr:nvSpPr>
      <xdr:spPr>
        <a:xfrm>
          <a:off x="1010770" y="611841"/>
          <a:ext cx="1331452" cy="637616"/>
        </a:xfrm>
        <a:prstGeom prst="roundRect">
          <a:avLst>
            <a:gd name="adj" fmla="val 438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237468</xdr:colOff>
      <xdr:row>3</xdr:row>
      <xdr:rowOff>40341</xdr:rowOff>
    </xdr:from>
    <xdr:to>
      <xdr:col>3</xdr:col>
      <xdr:colOff>5699</xdr:colOff>
      <xdr:row>6</xdr:row>
      <xdr:rowOff>106457</xdr:rowOff>
    </xdr:to>
    <xdr:sp macro="" textlink="">
      <xdr:nvSpPr>
        <xdr:cNvPr id="9" name="Rectangle: Rounded Corners 8">
          <a:extLst>
            <a:ext uri="{FF2B5EF4-FFF2-40B4-BE49-F238E27FC236}">
              <a16:creationId xmlns:a16="http://schemas.microsoft.com/office/drawing/2014/main" id="{EBD547EE-9E51-9DAB-9ED9-6B9018406169}"/>
            </a:ext>
          </a:extLst>
        </xdr:cNvPr>
        <xdr:cNvSpPr/>
      </xdr:nvSpPr>
      <xdr:spPr>
        <a:xfrm>
          <a:off x="2400203" y="611841"/>
          <a:ext cx="1331452" cy="637616"/>
        </a:xfrm>
        <a:prstGeom prst="roundRect">
          <a:avLst>
            <a:gd name="adj" fmla="val 438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108504</xdr:colOff>
      <xdr:row>3</xdr:row>
      <xdr:rowOff>45944</xdr:rowOff>
    </xdr:from>
    <xdr:to>
      <xdr:col>4</xdr:col>
      <xdr:colOff>117662</xdr:colOff>
      <xdr:row>6</xdr:row>
      <xdr:rowOff>112060</xdr:rowOff>
    </xdr:to>
    <xdr:sp macro="" textlink="">
      <xdr:nvSpPr>
        <xdr:cNvPr id="10" name="Rectangle: Rounded Corners 9">
          <a:extLst>
            <a:ext uri="{FF2B5EF4-FFF2-40B4-BE49-F238E27FC236}">
              <a16:creationId xmlns:a16="http://schemas.microsoft.com/office/drawing/2014/main" id="{EE3A776D-E6CF-241A-72AD-EF259DEE1373}"/>
            </a:ext>
          </a:extLst>
        </xdr:cNvPr>
        <xdr:cNvSpPr/>
      </xdr:nvSpPr>
      <xdr:spPr>
        <a:xfrm>
          <a:off x="3834460" y="617444"/>
          <a:ext cx="1331452" cy="637616"/>
        </a:xfrm>
        <a:prstGeom prst="roundRect">
          <a:avLst>
            <a:gd name="adj" fmla="val 438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58270</xdr:colOff>
      <xdr:row>10</xdr:row>
      <xdr:rowOff>95250</xdr:rowOff>
    </xdr:from>
    <xdr:to>
      <xdr:col>4</xdr:col>
      <xdr:colOff>156882</xdr:colOff>
      <xdr:row>19</xdr:row>
      <xdr:rowOff>50427</xdr:rowOff>
    </xdr:to>
    <xdr:sp macro="" textlink="">
      <xdr:nvSpPr>
        <xdr:cNvPr id="16" name="Rectangle: Rounded Corners 15">
          <a:extLst>
            <a:ext uri="{FF2B5EF4-FFF2-40B4-BE49-F238E27FC236}">
              <a16:creationId xmlns:a16="http://schemas.microsoft.com/office/drawing/2014/main" id="{B9978C23-C838-BD3E-1353-B4890D958BEB}"/>
            </a:ext>
          </a:extLst>
        </xdr:cNvPr>
        <xdr:cNvSpPr/>
      </xdr:nvSpPr>
      <xdr:spPr>
        <a:xfrm>
          <a:off x="1010770" y="2000250"/>
          <a:ext cx="4194362" cy="1669677"/>
        </a:xfrm>
        <a:prstGeom prst="roundRect">
          <a:avLst>
            <a:gd name="adj" fmla="val 438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isometricOffAxis2Left"/>
            <a:lightRig rig="threePt" dir="t"/>
          </a:scene3d>
        </a:bodyPr>
        <a:lstStyle/>
        <a:p>
          <a:pPr algn="l"/>
          <a:r>
            <a:rPr lang="en-IN" sz="1100"/>
            <a:t> </a:t>
          </a:r>
        </a:p>
      </xdr:txBody>
    </xdr:sp>
    <xdr:clientData/>
  </xdr:twoCellAnchor>
  <xdr:twoCellAnchor editAs="absolute">
    <xdr:from>
      <xdr:col>4</xdr:col>
      <xdr:colOff>229719</xdr:colOff>
      <xdr:row>6</xdr:row>
      <xdr:rowOff>112059</xdr:rowOff>
    </xdr:from>
    <xdr:to>
      <xdr:col>7</xdr:col>
      <xdr:colOff>11205</xdr:colOff>
      <xdr:row>19</xdr:row>
      <xdr:rowOff>67236</xdr:rowOff>
    </xdr:to>
    <xdr:sp macro="" textlink="">
      <xdr:nvSpPr>
        <xdr:cNvPr id="18" name="Rectangle: Rounded Corners 17">
          <a:extLst>
            <a:ext uri="{FF2B5EF4-FFF2-40B4-BE49-F238E27FC236}">
              <a16:creationId xmlns:a16="http://schemas.microsoft.com/office/drawing/2014/main" id="{14D4C23C-C197-6ABB-D2E5-68B6132B1787}"/>
            </a:ext>
          </a:extLst>
        </xdr:cNvPr>
        <xdr:cNvSpPr/>
      </xdr:nvSpPr>
      <xdr:spPr>
        <a:xfrm>
          <a:off x="5277969" y="1255059"/>
          <a:ext cx="3384177" cy="2431677"/>
        </a:xfrm>
        <a:prstGeom prst="roundRect">
          <a:avLst>
            <a:gd name="adj" fmla="val 6294"/>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705970</xdr:colOff>
      <xdr:row>0</xdr:row>
      <xdr:rowOff>134469</xdr:rowOff>
    </xdr:from>
    <xdr:to>
      <xdr:col>2</xdr:col>
      <xdr:colOff>1507191</xdr:colOff>
      <xdr:row>1</xdr:row>
      <xdr:rowOff>156882</xdr:rowOff>
    </xdr:to>
    <xdr:sp macro="" textlink="">
      <xdr:nvSpPr>
        <xdr:cNvPr id="19" name="TextBox 18">
          <a:extLst>
            <a:ext uri="{FF2B5EF4-FFF2-40B4-BE49-F238E27FC236}">
              <a16:creationId xmlns:a16="http://schemas.microsoft.com/office/drawing/2014/main" id="{5251F4B9-4A30-2FD2-BA1D-CFDD1480427D}"/>
            </a:ext>
          </a:extLst>
        </xdr:cNvPr>
        <xdr:cNvSpPr txBox="1"/>
      </xdr:nvSpPr>
      <xdr:spPr>
        <a:xfrm>
          <a:off x="705970" y="134469"/>
          <a:ext cx="2963956" cy="21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Hospital Emergency Room Dashboard</a:t>
          </a:r>
        </a:p>
      </xdr:txBody>
    </xdr:sp>
    <xdr:clientData/>
  </xdr:twoCellAnchor>
  <xdr:twoCellAnchor editAs="absolute">
    <xdr:from>
      <xdr:col>0</xdr:col>
      <xdr:colOff>0</xdr:colOff>
      <xdr:row>0</xdr:row>
      <xdr:rowOff>50426</xdr:rowOff>
    </xdr:from>
    <xdr:to>
      <xdr:col>0</xdr:col>
      <xdr:colOff>930088</xdr:colOff>
      <xdr:row>3</xdr:row>
      <xdr:rowOff>28015</xdr:rowOff>
    </xdr:to>
    <xdr:pic>
      <xdr:nvPicPr>
        <xdr:cNvPr id="23" name="Picture 22">
          <a:extLst>
            <a:ext uri="{FF2B5EF4-FFF2-40B4-BE49-F238E27FC236}">
              <a16:creationId xmlns:a16="http://schemas.microsoft.com/office/drawing/2014/main" id="{F08560E8-0D15-329E-C974-FB4D20408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0426"/>
          <a:ext cx="930088" cy="549089"/>
        </a:xfrm>
        <a:prstGeom prst="rect">
          <a:avLst/>
        </a:prstGeom>
      </xdr:spPr>
    </xdr:pic>
    <xdr:clientData/>
  </xdr:twoCellAnchor>
  <xdr:twoCellAnchor editAs="absolute">
    <xdr:from>
      <xdr:col>0</xdr:col>
      <xdr:colOff>701487</xdr:colOff>
      <xdr:row>1</xdr:row>
      <xdr:rowOff>152399</xdr:rowOff>
    </xdr:from>
    <xdr:to>
      <xdr:col>2</xdr:col>
      <xdr:colOff>1502708</xdr:colOff>
      <xdr:row>2</xdr:row>
      <xdr:rowOff>174812</xdr:rowOff>
    </xdr:to>
    <xdr:sp macro="" textlink="">
      <xdr:nvSpPr>
        <xdr:cNvPr id="24" name="TextBox 23">
          <a:extLst>
            <a:ext uri="{FF2B5EF4-FFF2-40B4-BE49-F238E27FC236}">
              <a16:creationId xmlns:a16="http://schemas.microsoft.com/office/drawing/2014/main" id="{D145BE2D-81CE-CEE4-9DB5-ACF460257D77}"/>
            </a:ext>
          </a:extLst>
        </xdr:cNvPr>
        <xdr:cNvSpPr txBox="1"/>
      </xdr:nvSpPr>
      <xdr:spPr>
        <a:xfrm>
          <a:off x="701487" y="342899"/>
          <a:ext cx="2963956" cy="21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a:t>
          </a:r>
          <a:r>
            <a:rPr lang="en-IN" sz="1100" baseline="0"/>
            <a:t> Report</a:t>
          </a:r>
          <a:endParaRPr lang="en-IN" sz="1100"/>
        </a:p>
        <a:p>
          <a:pPr algn="ctr"/>
          <a:endParaRPr lang="en-IN" sz="1400"/>
        </a:p>
      </xdr:txBody>
    </xdr:sp>
    <xdr:clientData/>
  </xdr:twoCellAnchor>
  <xdr:twoCellAnchor editAs="absolute">
    <xdr:from>
      <xdr:col>1</xdr:col>
      <xdr:colOff>44823</xdr:colOff>
      <xdr:row>4</xdr:row>
      <xdr:rowOff>67236</xdr:rowOff>
    </xdr:from>
    <xdr:to>
      <xdr:col>2</xdr:col>
      <xdr:colOff>168088</xdr:colOff>
      <xdr:row>5</xdr:row>
      <xdr:rowOff>106456</xdr:rowOff>
    </xdr:to>
    <xdr:sp macro="" textlink="">
      <xdr:nvSpPr>
        <xdr:cNvPr id="25" name="TextBox 24">
          <a:extLst>
            <a:ext uri="{FF2B5EF4-FFF2-40B4-BE49-F238E27FC236}">
              <a16:creationId xmlns:a16="http://schemas.microsoft.com/office/drawing/2014/main" id="{5AB38381-57C8-EDE6-137D-B3AB9E9FE6AC}"/>
            </a:ext>
          </a:extLst>
        </xdr:cNvPr>
        <xdr:cNvSpPr txBox="1"/>
      </xdr:nvSpPr>
      <xdr:spPr>
        <a:xfrm>
          <a:off x="997323" y="829236"/>
          <a:ext cx="1333500"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a:t>
          </a:r>
          <a:endParaRPr lang="en-IN" sz="900"/>
        </a:p>
        <a:p>
          <a:pPr algn="ctr"/>
          <a:endParaRPr lang="en-IN" sz="1400"/>
        </a:p>
      </xdr:txBody>
    </xdr:sp>
    <xdr:clientData/>
  </xdr:twoCellAnchor>
  <xdr:twoCellAnchor editAs="absolute">
    <xdr:from>
      <xdr:col>1</xdr:col>
      <xdr:colOff>22411</xdr:colOff>
      <xdr:row>3</xdr:row>
      <xdr:rowOff>22413</xdr:rowOff>
    </xdr:from>
    <xdr:to>
      <xdr:col>2</xdr:col>
      <xdr:colOff>145677</xdr:colOff>
      <xdr:row>4</xdr:row>
      <xdr:rowOff>61633</xdr:rowOff>
    </xdr:to>
    <xdr:sp macro="" textlink="'Pivot Report'!A4">
      <xdr:nvSpPr>
        <xdr:cNvPr id="26" name="TextBox 25">
          <a:extLst>
            <a:ext uri="{FF2B5EF4-FFF2-40B4-BE49-F238E27FC236}">
              <a16:creationId xmlns:a16="http://schemas.microsoft.com/office/drawing/2014/main" id="{3FD4E885-E389-560E-C465-E8A186280BE8}"/>
            </a:ext>
          </a:extLst>
        </xdr:cNvPr>
        <xdr:cNvSpPr txBox="1"/>
      </xdr:nvSpPr>
      <xdr:spPr>
        <a:xfrm>
          <a:off x="974911" y="593913"/>
          <a:ext cx="1333501"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C70EA73-78AB-4F08-88EA-E1AC04F9360E}" type="TxLink">
            <a:rPr lang="en-US" sz="1600" b="0" i="0" u="none" strike="noStrike">
              <a:solidFill>
                <a:srgbClr val="000000"/>
              </a:solidFill>
              <a:latin typeface="Calibri"/>
              <a:ea typeface="Calibri"/>
              <a:cs typeface="Calibri"/>
            </a:rPr>
            <a:pPr algn="ctr"/>
            <a:t>513</a:t>
          </a:fld>
          <a:endParaRPr lang="en-IN" sz="1600"/>
        </a:p>
      </xdr:txBody>
    </xdr:sp>
    <xdr:clientData/>
  </xdr:twoCellAnchor>
  <xdr:twoCellAnchor editAs="absolute">
    <xdr:from>
      <xdr:col>2</xdr:col>
      <xdr:colOff>184896</xdr:colOff>
      <xdr:row>4</xdr:row>
      <xdr:rowOff>61634</xdr:rowOff>
    </xdr:from>
    <xdr:to>
      <xdr:col>2</xdr:col>
      <xdr:colOff>1518396</xdr:colOff>
      <xdr:row>5</xdr:row>
      <xdr:rowOff>100854</xdr:rowOff>
    </xdr:to>
    <xdr:sp macro="" textlink="">
      <xdr:nvSpPr>
        <xdr:cNvPr id="34" name="TextBox 33">
          <a:extLst>
            <a:ext uri="{FF2B5EF4-FFF2-40B4-BE49-F238E27FC236}">
              <a16:creationId xmlns:a16="http://schemas.microsoft.com/office/drawing/2014/main" id="{8CDA2798-30FC-A999-E9DD-105630414910}"/>
            </a:ext>
          </a:extLst>
        </xdr:cNvPr>
        <xdr:cNvSpPr txBox="1"/>
      </xdr:nvSpPr>
      <xdr:spPr>
        <a:xfrm>
          <a:off x="2347631" y="823634"/>
          <a:ext cx="1333500"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a:t>
          </a:r>
          <a:r>
            <a:rPr lang="en-IN" sz="900" baseline="0"/>
            <a:t> Wait Time</a:t>
          </a:r>
          <a:endParaRPr lang="en-IN" sz="900"/>
        </a:p>
        <a:p>
          <a:pPr algn="ctr"/>
          <a:endParaRPr lang="en-IN" sz="1400"/>
        </a:p>
      </xdr:txBody>
    </xdr:sp>
    <xdr:clientData/>
  </xdr:twoCellAnchor>
  <xdr:twoCellAnchor editAs="absolute">
    <xdr:from>
      <xdr:col>2</xdr:col>
      <xdr:colOff>179292</xdr:colOff>
      <xdr:row>3</xdr:row>
      <xdr:rowOff>16811</xdr:rowOff>
    </xdr:from>
    <xdr:to>
      <xdr:col>2</xdr:col>
      <xdr:colOff>1512793</xdr:colOff>
      <xdr:row>4</xdr:row>
      <xdr:rowOff>56031</xdr:rowOff>
    </xdr:to>
    <xdr:sp macro="" textlink="'Pivot Report'!A9">
      <xdr:nvSpPr>
        <xdr:cNvPr id="35" name="TextBox 34">
          <a:extLst>
            <a:ext uri="{FF2B5EF4-FFF2-40B4-BE49-F238E27FC236}">
              <a16:creationId xmlns:a16="http://schemas.microsoft.com/office/drawing/2014/main" id="{5684F3BC-BA44-C873-5F15-1169B463FB94}"/>
            </a:ext>
          </a:extLst>
        </xdr:cNvPr>
        <xdr:cNvSpPr txBox="1"/>
      </xdr:nvSpPr>
      <xdr:spPr>
        <a:xfrm>
          <a:off x="2342027" y="588311"/>
          <a:ext cx="1333501"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DCB3BC22-E003-4951-8278-91D348C2FD7E}" type="TxLink">
            <a:rPr lang="en-US" sz="1600" b="0" i="0" u="none" strike="noStrike">
              <a:solidFill>
                <a:srgbClr val="000000"/>
              </a:solidFill>
              <a:latin typeface="Calibri"/>
              <a:ea typeface="Calibri"/>
              <a:cs typeface="Calibri"/>
            </a:rPr>
            <a:pPr marL="0" indent="0" algn="ctr"/>
            <a:t>36.32</a:t>
          </a:fld>
          <a:endParaRPr lang="en-IN" sz="1600" b="0" i="0" u="none" strike="noStrike">
            <a:solidFill>
              <a:srgbClr val="000000"/>
            </a:solidFill>
            <a:latin typeface="Calibri"/>
            <a:ea typeface="Calibri"/>
            <a:cs typeface="Calibri"/>
          </a:endParaRPr>
        </a:p>
      </xdr:txBody>
    </xdr:sp>
    <xdr:clientData/>
  </xdr:twoCellAnchor>
  <xdr:twoCellAnchor editAs="absolute">
    <xdr:from>
      <xdr:col>3</xdr:col>
      <xdr:colOff>72837</xdr:colOff>
      <xdr:row>4</xdr:row>
      <xdr:rowOff>95251</xdr:rowOff>
    </xdr:from>
    <xdr:to>
      <xdr:col>4</xdr:col>
      <xdr:colOff>84043</xdr:colOff>
      <xdr:row>5</xdr:row>
      <xdr:rowOff>134471</xdr:rowOff>
    </xdr:to>
    <xdr:sp macro="" textlink="">
      <xdr:nvSpPr>
        <xdr:cNvPr id="36" name="TextBox 35">
          <a:extLst>
            <a:ext uri="{FF2B5EF4-FFF2-40B4-BE49-F238E27FC236}">
              <a16:creationId xmlns:a16="http://schemas.microsoft.com/office/drawing/2014/main" id="{CE3BA551-9FAA-A275-EEFE-1885723A7422}"/>
            </a:ext>
          </a:extLst>
        </xdr:cNvPr>
        <xdr:cNvSpPr txBox="1"/>
      </xdr:nvSpPr>
      <xdr:spPr>
        <a:xfrm>
          <a:off x="3798793" y="857251"/>
          <a:ext cx="1333500"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a:t>
          </a:r>
          <a:r>
            <a:rPr lang="en-IN" sz="900" baseline="0"/>
            <a:t> Satisfaction Score</a:t>
          </a:r>
          <a:endParaRPr lang="en-IN" sz="900"/>
        </a:p>
        <a:p>
          <a:pPr algn="ctr"/>
          <a:endParaRPr lang="en-IN" sz="1400"/>
        </a:p>
      </xdr:txBody>
    </xdr:sp>
    <xdr:clientData/>
  </xdr:twoCellAnchor>
  <xdr:twoCellAnchor editAs="absolute">
    <xdr:from>
      <xdr:col>3</xdr:col>
      <xdr:colOff>56027</xdr:colOff>
      <xdr:row>3</xdr:row>
      <xdr:rowOff>22414</xdr:rowOff>
    </xdr:from>
    <xdr:to>
      <xdr:col>4</xdr:col>
      <xdr:colOff>67234</xdr:colOff>
      <xdr:row>4</xdr:row>
      <xdr:rowOff>61634</xdr:rowOff>
    </xdr:to>
    <xdr:sp macro="" textlink="'Pivot Report'!A12">
      <xdr:nvSpPr>
        <xdr:cNvPr id="37" name="TextBox 36">
          <a:extLst>
            <a:ext uri="{FF2B5EF4-FFF2-40B4-BE49-F238E27FC236}">
              <a16:creationId xmlns:a16="http://schemas.microsoft.com/office/drawing/2014/main" id="{3DFA30C1-33A3-388E-B4FB-3741AE4D8C49}"/>
            </a:ext>
          </a:extLst>
        </xdr:cNvPr>
        <xdr:cNvSpPr txBox="1"/>
      </xdr:nvSpPr>
      <xdr:spPr>
        <a:xfrm>
          <a:off x="3781983" y="593914"/>
          <a:ext cx="1333501"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B9457DAC-AA9F-4B50-A06A-AA45BD7E8FDA}" type="TxLink">
            <a:rPr lang="en-US" sz="1600" b="0" i="0" u="none" strike="noStrike">
              <a:solidFill>
                <a:srgbClr val="000000"/>
              </a:solidFill>
              <a:latin typeface="Calibri"/>
              <a:ea typeface="Calibri"/>
              <a:cs typeface="Calibri"/>
            </a:rPr>
            <a:pPr marL="0" indent="0" algn="ctr"/>
            <a:t>4.96</a:t>
          </a:fld>
          <a:endParaRPr lang="en-IN" sz="1600" b="0" i="0" u="none" strike="noStrike">
            <a:solidFill>
              <a:srgbClr val="000000"/>
            </a:solidFill>
            <a:latin typeface="Calibri"/>
            <a:ea typeface="Calibri"/>
            <a:cs typeface="Calibri"/>
          </a:endParaRPr>
        </a:p>
      </xdr:txBody>
    </xdr:sp>
    <xdr:clientData/>
  </xdr:twoCellAnchor>
  <xdr:twoCellAnchor editAs="absolute">
    <xdr:from>
      <xdr:col>1</xdr:col>
      <xdr:colOff>1042146</xdr:colOff>
      <xdr:row>3</xdr:row>
      <xdr:rowOff>22412</xdr:rowOff>
    </xdr:from>
    <xdr:to>
      <xdr:col>2</xdr:col>
      <xdr:colOff>190500</xdr:colOff>
      <xdr:row>5</xdr:row>
      <xdr:rowOff>1</xdr:rowOff>
    </xdr:to>
    <xdr:pic>
      <xdr:nvPicPr>
        <xdr:cNvPr id="39" name="Graphic 38" descr="Male profile with solid fill">
          <a:extLst>
            <a:ext uri="{FF2B5EF4-FFF2-40B4-BE49-F238E27FC236}">
              <a16:creationId xmlns:a16="http://schemas.microsoft.com/office/drawing/2014/main" id="{AF76B5F0-D7E6-7E60-0B42-378CC66A27D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94646" y="593912"/>
          <a:ext cx="358589" cy="358589"/>
        </a:xfrm>
        <a:prstGeom prst="rect">
          <a:avLst/>
        </a:prstGeom>
      </xdr:spPr>
    </xdr:pic>
    <xdr:clientData/>
  </xdr:twoCellAnchor>
  <xdr:twoCellAnchor editAs="absolute">
    <xdr:from>
      <xdr:col>2</xdr:col>
      <xdr:colOff>1251132</xdr:colOff>
      <xdr:row>3</xdr:row>
      <xdr:rowOff>33615</xdr:rowOff>
    </xdr:from>
    <xdr:to>
      <xdr:col>3</xdr:col>
      <xdr:colOff>47911</xdr:colOff>
      <xdr:row>5</xdr:row>
      <xdr:rowOff>12615</xdr:rowOff>
    </xdr:to>
    <xdr:pic>
      <xdr:nvPicPr>
        <xdr:cNvPr id="11" name="Graphic 10" descr="Hourglass Finished with solid fill">
          <a:extLst>
            <a:ext uri="{FF2B5EF4-FFF2-40B4-BE49-F238E27FC236}">
              <a16:creationId xmlns:a16="http://schemas.microsoft.com/office/drawing/2014/main" id="{50F1DD15-AC90-423E-6F93-D322512A058B}"/>
            </a:ext>
          </a:extLst>
        </xdr:cNvPr>
        <xdr:cNvPicPr>
          <a:picLocks/>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13867" y="605115"/>
          <a:ext cx="360000" cy="360000"/>
        </a:xfrm>
        <a:prstGeom prst="rect">
          <a:avLst/>
        </a:prstGeom>
      </xdr:spPr>
    </xdr:pic>
    <xdr:clientData/>
  </xdr:twoCellAnchor>
  <xdr:twoCellAnchor editAs="oneCell">
    <xdr:from>
      <xdr:col>3</xdr:col>
      <xdr:colOff>1109384</xdr:colOff>
      <xdr:row>3</xdr:row>
      <xdr:rowOff>33617</xdr:rowOff>
    </xdr:from>
    <xdr:to>
      <xdr:col>4</xdr:col>
      <xdr:colOff>156884</xdr:colOff>
      <xdr:row>4</xdr:row>
      <xdr:rowOff>168088</xdr:rowOff>
    </xdr:to>
    <xdr:pic>
      <xdr:nvPicPr>
        <xdr:cNvPr id="13" name="Graphic 12" descr="Call center with solid fill">
          <a:extLst>
            <a:ext uri="{FF2B5EF4-FFF2-40B4-BE49-F238E27FC236}">
              <a16:creationId xmlns:a16="http://schemas.microsoft.com/office/drawing/2014/main" id="{E1EA3B94-5E8B-7E0B-AFCE-6011C62415C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35340" y="605117"/>
          <a:ext cx="369794" cy="324971"/>
        </a:xfrm>
        <a:prstGeom prst="rect">
          <a:avLst/>
        </a:prstGeom>
      </xdr:spPr>
    </xdr:pic>
    <xdr:clientData/>
  </xdr:twoCellAnchor>
  <xdr:twoCellAnchor editAs="absolute">
    <xdr:from>
      <xdr:col>5</xdr:col>
      <xdr:colOff>364192</xdr:colOff>
      <xdr:row>0</xdr:row>
      <xdr:rowOff>68356</xdr:rowOff>
    </xdr:from>
    <xdr:to>
      <xdr:col>7</xdr:col>
      <xdr:colOff>23532</xdr:colOff>
      <xdr:row>6</xdr:row>
      <xdr:rowOff>39221</xdr:rowOff>
    </xdr:to>
    <xdr:sp macro="" textlink="">
      <xdr:nvSpPr>
        <xdr:cNvPr id="14" name="Rectangle: Rounded Corners 13">
          <a:extLst>
            <a:ext uri="{FF2B5EF4-FFF2-40B4-BE49-F238E27FC236}">
              <a16:creationId xmlns:a16="http://schemas.microsoft.com/office/drawing/2014/main" id="{944468B7-3AA2-B377-0293-3038CF29A300}"/>
            </a:ext>
          </a:extLst>
        </xdr:cNvPr>
        <xdr:cNvSpPr/>
      </xdr:nvSpPr>
      <xdr:spPr>
        <a:xfrm>
          <a:off x="6986868" y="68356"/>
          <a:ext cx="1687605" cy="111386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78442</xdr:colOff>
      <xdr:row>3</xdr:row>
      <xdr:rowOff>95248</xdr:rowOff>
    </xdr:from>
    <xdr:to>
      <xdr:col>0</xdr:col>
      <xdr:colOff>913280</xdr:colOff>
      <xdr:row>19</xdr:row>
      <xdr:rowOff>67234</xdr:rowOff>
    </xdr:to>
    <mc:AlternateContent xmlns:mc="http://schemas.openxmlformats.org/markup-compatibility/2006" xmlns:a14="http://schemas.microsoft.com/office/drawing/2010/main">
      <mc:Choice Requires="a14">
        <xdr:graphicFrame macro="">
          <xdr:nvGraphicFramePr>
            <xdr:cNvPr id="15" name="Date (Month)">
              <a:extLst>
                <a:ext uri="{FF2B5EF4-FFF2-40B4-BE49-F238E27FC236}">
                  <a16:creationId xmlns:a16="http://schemas.microsoft.com/office/drawing/2014/main" id="{64CF0627-2184-459C-B01E-43EF81A4215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8442" y="666748"/>
              <a:ext cx="834838" cy="3019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78441</xdr:colOff>
      <xdr:row>4</xdr:row>
      <xdr:rowOff>190499</xdr:rowOff>
    </xdr:from>
    <xdr:to>
      <xdr:col>2</xdr:col>
      <xdr:colOff>246530</xdr:colOff>
      <xdr:row>7</xdr:row>
      <xdr:rowOff>151279</xdr:rowOff>
    </xdr:to>
    <xdr:graphicFrame macro="">
      <xdr:nvGraphicFramePr>
        <xdr:cNvPr id="20" name="Chart 19">
          <a:extLst>
            <a:ext uri="{FF2B5EF4-FFF2-40B4-BE49-F238E27FC236}">
              <a16:creationId xmlns:a16="http://schemas.microsoft.com/office/drawing/2014/main" id="{5605B3C9-DD27-4FD3-802E-FE6F5FB7C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235323</xdr:colOff>
      <xdr:row>5</xdr:row>
      <xdr:rowOff>16810</xdr:rowOff>
    </xdr:from>
    <xdr:to>
      <xdr:col>3</xdr:col>
      <xdr:colOff>44824</xdr:colOff>
      <xdr:row>7</xdr:row>
      <xdr:rowOff>16809</xdr:rowOff>
    </xdr:to>
    <xdr:graphicFrame macro="">
      <xdr:nvGraphicFramePr>
        <xdr:cNvPr id="21" name="Chart 20">
          <a:extLst>
            <a:ext uri="{FF2B5EF4-FFF2-40B4-BE49-F238E27FC236}">
              <a16:creationId xmlns:a16="http://schemas.microsoft.com/office/drawing/2014/main" id="{6C8CCF12-FA5D-449C-B2B1-09E651D1C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1546412</xdr:colOff>
      <xdr:row>4</xdr:row>
      <xdr:rowOff>162484</xdr:rowOff>
    </xdr:from>
    <xdr:to>
      <xdr:col>4</xdr:col>
      <xdr:colOff>235324</xdr:colOff>
      <xdr:row>7</xdr:row>
      <xdr:rowOff>84043</xdr:rowOff>
    </xdr:to>
    <xdr:graphicFrame macro="">
      <xdr:nvGraphicFramePr>
        <xdr:cNvPr id="22" name="Chart 21">
          <a:extLst>
            <a:ext uri="{FF2B5EF4-FFF2-40B4-BE49-F238E27FC236}">
              <a16:creationId xmlns:a16="http://schemas.microsoft.com/office/drawing/2014/main" id="{25708080-7EC1-4BFA-9CEB-FBB77800C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16809</xdr:colOff>
          <xdr:row>6</xdr:row>
          <xdr:rowOff>156536</xdr:rowOff>
        </xdr:from>
        <xdr:to>
          <xdr:col>4</xdr:col>
          <xdr:colOff>162485</xdr:colOff>
          <xdr:row>10</xdr:row>
          <xdr:rowOff>50426</xdr:rowOff>
        </xdr:to>
        <xdr:pic>
          <xdr:nvPicPr>
            <xdr:cNvPr id="28" name="Picture 27">
              <a:extLst>
                <a:ext uri="{FF2B5EF4-FFF2-40B4-BE49-F238E27FC236}">
                  <a16:creationId xmlns:a16="http://schemas.microsoft.com/office/drawing/2014/main" id="{A0C74A79-93D1-8B7E-03C6-42055A651F62}"/>
                </a:ext>
              </a:extLst>
            </xdr:cNvPr>
            <xdr:cNvPicPr>
              <a:picLocks noChangeAspect="1" noChangeArrowheads="1"/>
              <a:extLst>
                <a:ext uri="{84589F7E-364E-4C9E-8A38-B11213B215E9}">
                  <a14:cameraTool cellRange="'Pivot Report'!$A$44:$D$46" spid="_x0000_s1066"/>
                </a:ext>
              </a:extLst>
            </xdr:cNvPicPr>
          </xdr:nvPicPr>
          <xdr:blipFill>
            <a:blip xmlns:r="http://schemas.openxmlformats.org/officeDocument/2006/relationships" r:embed="rId11"/>
            <a:srcRect/>
            <a:stretch>
              <a:fillRect/>
            </a:stretch>
          </xdr:blipFill>
          <xdr:spPr bwMode="auto">
            <a:xfrm>
              <a:off x="969309" y="1299536"/>
              <a:ext cx="4241426" cy="655890"/>
            </a:xfrm>
            <a:prstGeom prst="roundRect">
              <a:avLst>
                <a:gd name="adj" fmla="val 24924"/>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119901</xdr:colOff>
      <xdr:row>10</xdr:row>
      <xdr:rowOff>173691</xdr:rowOff>
    </xdr:from>
    <xdr:to>
      <xdr:col>4</xdr:col>
      <xdr:colOff>123264</xdr:colOff>
      <xdr:row>18</xdr:row>
      <xdr:rowOff>134470</xdr:rowOff>
    </xdr:to>
    <xdr:graphicFrame macro="">
      <xdr:nvGraphicFramePr>
        <xdr:cNvPr id="29" name="Chart 28">
          <a:extLst>
            <a:ext uri="{FF2B5EF4-FFF2-40B4-BE49-F238E27FC236}">
              <a16:creationId xmlns:a16="http://schemas.microsoft.com/office/drawing/2014/main" id="{A9C8F53D-7AC2-425D-A84B-3F669D6CC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xdr:col>
      <xdr:colOff>242047</xdr:colOff>
      <xdr:row>18</xdr:row>
      <xdr:rowOff>101974</xdr:rowOff>
    </xdr:from>
    <xdr:to>
      <xdr:col>3</xdr:col>
      <xdr:colOff>12326</xdr:colOff>
      <xdr:row>19</xdr:row>
      <xdr:rowOff>141194</xdr:rowOff>
    </xdr:to>
    <xdr:sp macro="" textlink="">
      <xdr:nvSpPr>
        <xdr:cNvPr id="30" name="TextBox 29">
          <a:extLst>
            <a:ext uri="{FF2B5EF4-FFF2-40B4-BE49-F238E27FC236}">
              <a16:creationId xmlns:a16="http://schemas.microsoft.com/office/drawing/2014/main" id="{2DF68D57-12A7-4CE0-B110-65AEBB158935}"/>
            </a:ext>
          </a:extLst>
        </xdr:cNvPr>
        <xdr:cNvSpPr txBox="1"/>
      </xdr:nvSpPr>
      <xdr:spPr>
        <a:xfrm>
          <a:off x="2404782" y="3530974"/>
          <a:ext cx="1333500"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 by age group</a:t>
          </a:r>
          <a:endParaRPr lang="en-IN" sz="900"/>
        </a:p>
        <a:p>
          <a:pPr algn="ctr"/>
          <a:endParaRPr lang="en-IN" sz="1400"/>
        </a:p>
      </xdr:txBody>
    </xdr:sp>
    <xdr:clientData/>
  </xdr:twoCellAnchor>
  <xdr:twoCellAnchor>
    <xdr:from>
      <xdr:col>3</xdr:col>
      <xdr:colOff>1232647</xdr:colOff>
      <xdr:row>0</xdr:row>
      <xdr:rowOff>112058</xdr:rowOff>
    </xdr:from>
    <xdr:to>
      <xdr:col>5</xdr:col>
      <xdr:colOff>605119</xdr:colOff>
      <xdr:row>6</xdr:row>
      <xdr:rowOff>117662</xdr:rowOff>
    </xdr:to>
    <xdr:graphicFrame macro="">
      <xdr:nvGraphicFramePr>
        <xdr:cNvPr id="31" name="Chart 30">
          <a:extLst>
            <a:ext uri="{FF2B5EF4-FFF2-40B4-BE49-F238E27FC236}">
              <a16:creationId xmlns:a16="http://schemas.microsoft.com/office/drawing/2014/main" id="{2A6020E0-30FE-4CCC-B609-98DAA9B2E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274547</xdr:colOff>
      <xdr:row>0</xdr:row>
      <xdr:rowOff>0</xdr:rowOff>
    </xdr:from>
    <xdr:to>
      <xdr:col>6</xdr:col>
      <xdr:colOff>526678</xdr:colOff>
      <xdr:row>6</xdr:row>
      <xdr:rowOff>11204</xdr:rowOff>
    </xdr:to>
    <xdr:graphicFrame macro="">
      <xdr:nvGraphicFramePr>
        <xdr:cNvPr id="32" name="Chart 31">
          <a:extLst>
            <a:ext uri="{FF2B5EF4-FFF2-40B4-BE49-F238E27FC236}">
              <a16:creationId xmlns:a16="http://schemas.microsoft.com/office/drawing/2014/main" id="{039C4D29-86AC-4B54-889F-AB4D34F01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268940</xdr:colOff>
      <xdr:row>6</xdr:row>
      <xdr:rowOff>184897</xdr:rowOff>
    </xdr:from>
    <xdr:to>
      <xdr:col>6</xdr:col>
      <xdr:colOff>470647</xdr:colOff>
      <xdr:row>19</xdr:row>
      <xdr:rowOff>12397</xdr:rowOff>
    </xdr:to>
    <xdr:graphicFrame macro="">
      <xdr:nvGraphicFramePr>
        <xdr:cNvPr id="3" name="Chart 2">
          <a:extLst>
            <a:ext uri="{FF2B5EF4-FFF2-40B4-BE49-F238E27FC236}">
              <a16:creationId xmlns:a16="http://schemas.microsoft.com/office/drawing/2014/main" id="{DA82A740-AF03-43D6-9619-D30D69011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763120</xdr:colOff>
      <xdr:row>18</xdr:row>
      <xdr:rowOff>85166</xdr:rowOff>
    </xdr:from>
    <xdr:to>
      <xdr:col>6</xdr:col>
      <xdr:colOff>151279</xdr:colOff>
      <xdr:row>19</xdr:row>
      <xdr:rowOff>124386</xdr:rowOff>
    </xdr:to>
    <xdr:sp macro="" textlink="">
      <xdr:nvSpPr>
        <xdr:cNvPr id="5" name="TextBox 4">
          <a:extLst>
            <a:ext uri="{FF2B5EF4-FFF2-40B4-BE49-F238E27FC236}">
              <a16:creationId xmlns:a16="http://schemas.microsoft.com/office/drawing/2014/main" id="{91234B73-ABC6-4BD5-91CB-CE44E7682205}"/>
            </a:ext>
          </a:extLst>
        </xdr:cNvPr>
        <xdr:cNvSpPr txBox="1"/>
      </xdr:nvSpPr>
      <xdr:spPr>
        <a:xfrm>
          <a:off x="5811370" y="3514166"/>
          <a:ext cx="2380130" cy="22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 by Departmental Referal</a:t>
          </a:r>
          <a:endParaRPr lang="en-IN" sz="900"/>
        </a:p>
        <a:p>
          <a:pPr algn="ctr"/>
          <a:endParaRPr lang="en-IN" sz="1400"/>
        </a:p>
      </xdr:txBody>
    </xdr:sp>
    <xdr:clientData/>
  </xdr:twoCellAnchor>
  <xdr:twoCellAnchor editAs="oneCell">
    <xdr:from>
      <xdr:col>3</xdr:col>
      <xdr:colOff>112058</xdr:colOff>
      <xdr:row>0</xdr:row>
      <xdr:rowOff>100854</xdr:rowOff>
    </xdr:from>
    <xdr:to>
      <xdr:col>4</xdr:col>
      <xdr:colOff>56029</xdr:colOff>
      <xdr:row>2</xdr:row>
      <xdr:rowOff>106458</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1295D43D-19B8-495E-8029-AB423DA4123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38014" y="100854"/>
              <a:ext cx="1266265" cy="386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218515</xdr:colOff>
      <xdr:row>16</xdr:row>
      <xdr:rowOff>179293</xdr:rowOff>
    </xdr:from>
    <xdr:to>
      <xdr:col>0</xdr:col>
      <xdr:colOff>778809</xdr:colOff>
      <xdr:row>19</xdr:row>
      <xdr:rowOff>56028</xdr:rowOff>
    </xdr:to>
    <xdr:pic>
      <xdr:nvPicPr>
        <xdr:cNvPr id="27" name="Graphic 26" descr="Stethoscope with solid fill">
          <a:extLst>
            <a:ext uri="{FF2B5EF4-FFF2-40B4-BE49-F238E27FC236}">
              <a16:creationId xmlns:a16="http://schemas.microsoft.com/office/drawing/2014/main" id="{079933CA-2AE0-0A0C-97A2-B8FE95BF2B0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8515" y="3227293"/>
          <a:ext cx="560294" cy="4482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1018515" createdVersion="5" refreshedVersion="8" minRefreshableVersion="3" recordCount="0" supportSubquery="1" supportAdvancedDrill="1" xr:uid="{3E1105F3-1C0A-44B2-A42A-36EB63AD0BF0}">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125" createdVersion="5" refreshedVersion="8" minRefreshableVersion="3" recordCount="0" supportSubquery="1" supportAdvancedDrill="1" xr:uid="{ED6EF27D-54FD-4DB1-B35A-3EEC13C7F4AB}">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125" createdVersion="5" refreshedVersion="8" minRefreshableVersion="3" recordCount="0" supportSubquery="1" supportAdvancedDrill="1" xr:uid="{FF326A41-F898-46DE-BABE-32A3F09EE46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1365738" createdVersion="5" refreshedVersion="8" minRefreshableVersion="3" recordCount="0" supportSubquery="1" supportAdvancedDrill="1" xr:uid="{284B4072-4E89-4FE1-B074-1DF0B7598EE2}">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1944446" createdVersion="5" refreshedVersion="8" minRefreshableVersion="3" recordCount="0" supportSubquery="1" supportAdvancedDrill="1" xr:uid="{A42F2FA5-C203-4903-8653-5CEF82677E40}">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2638885" createdVersion="5" refreshedVersion="8" minRefreshableVersion="3" recordCount="0" supportSubquery="1" supportAdvancedDrill="1" xr:uid="{C6CE3361-36AB-4BA2-9DA7-32B1D5D58FD4}">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2986109" createdVersion="5" refreshedVersion="8" minRefreshableVersion="3" recordCount="0" supportSubquery="1" supportAdvancedDrill="1" xr:uid="{8B30A0D6-2F95-467C-BD87-21CDA0E78611}">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3680555" createdVersion="5" refreshedVersion="8" minRefreshableVersion="3" recordCount="0" supportSubquery="1" supportAdvancedDrill="1" xr:uid="{658C9BF8-C7D8-4EB5-97D8-F10B1DD935CE}">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4375002" createdVersion="5" refreshedVersion="8" minRefreshableVersion="3" recordCount="0" supportSubquery="1" supportAdvancedDrill="1" xr:uid="{D72FD653-9741-4BB2-930C-5DF0EEF26EC2}">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4953702" createdVersion="5" refreshedVersion="8" minRefreshableVersion="3" recordCount="0" supportSubquery="1" supportAdvancedDrill="1" xr:uid="{E3BA73D8-EF91-4CDF-AB17-60C084F02F9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5300926" createdVersion="5" refreshedVersion="8" minRefreshableVersion="3" recordCount="0" supportSubquery="1" supportAdvancedDrill="1" xr:uid="{E9FA9058-18F6-4670-B71D-45F2C4EA749D}">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4.094285648149" createdVersion="5" refreshedVersion="8" minRefreshableVersion="3" recordCount="0" supportSubquery="1" supportAdvancedDrill="1" xr:uid="{5DA36814-7A4F-4D57-878B-AF449FBCBBDA}">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Anand" refreshedDate="46063.165675231481" createdVersion="3" refreshedVersion="8" minRefreshableVersion="3" recordCount="0" supportSubquery="1" supportAdvancedDrill="1" xr:uid="{DEF4D3A3-0DF3-4D32-9382-8B36655EDED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357214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675569-4E83-4CC7-A42B-209AD2CDFCA3}" name="PivotTable11" cacheId="219"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chartFormat="10">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6">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F98B4E-929D-4090-8F22-8335C782DCAF}" name="PivotTable5" cacheId="195" applyNumberFormats="0" applyBorderFormats="0" applyFontFormats="0" applyPatternFormats="0" applyAlignmentFormats="0" applyWidthHeightFormats="1" dataCaption="Values" tag="801273d4-11e1-4152-9501-f371ea9d5af5" updatedVersion="8" minRefreshableVersion="3" subtotalHiddenItems="1" itemPrintTitles="1" createdVersion="5" indent="0" outline="1" outlineData="1" multipleFieldFilters="0" chartFormat="5">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6FEA1-0D93-4A95-B147-550842444BE1}" name="PivotTable13" cacheId="225"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chartFormat="26">
  <location ref="A74:B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67">
      <pivotArea outline="0" collapsedLevelsAreSubtotals="1" fieldPosition="0"/>
    </format>
  </formats>
  <chartFormats count="5">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780273-542A-4591-9E80-C4FDB66CDA42}" name="PivotTable3" cacheId="204"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8">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A6F9F-7B29-4EB7-A40D-24275C72AB6A}" name="PivotTable2" cacheId="201" applyNumberFormats="0" applyBorderFormats="0" applyFontFormats="0" applyPatternFormats="0" applyAlignmentFormats="0" applyWidthHeightFormats="1" dataCaption="Values" tag="5fffad00-cdb4-4003-a8cb-f59085685da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9">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49F215-4F37-4BA0-9538-AE92898CE207}" name="PivotTable4" cacheId="228"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chartFormat="26">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0">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25B594-EB77-4545-86D3-0DB7F786855E}" name="PivotTable8" cacheId="210" applyNumberFormats="0" applyBorderFormats="0" applyFontFormats="0" applyPatternFormats="0" applyAlignmentFormats="0" applyWidthHeightFormats="1" dataCaption="Values" tag="801273d4-11e1-4152-9501-f371ea9d5af5" updatedVersion="8" minRefreshableVersion="3" subtotalHiddenItems="1" itemPrintTitles="1" createdVersion="5" indent="0" outline="1" outlineData="1" multipleFieldFilters="0" chartFormat="9">
  <location ref="J3:K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1">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3BDB89-86F4-4A6A-85E1-567A2DA947B1}" name="PivotTable1" cacheId="198" applyNumberFormats="0" applyBorderFormats="0" applyFontFormats="0" applyPatternFormats="0" applyAlignmentFormats="0" applyWidthHeightFormats="1" dataCaption="Values" tag="801273d4-11e1-4152-9501-f371ea9d5af5" updatedVersion="8" minRefreshableVersion="3"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5D3D93-A6D3-42BE-B182-99DD2C8C4E60}" name="PivotTable7" cacheId="207" applyNumberFormats="0" applyBorderFormats="0" applyFontFormats="0" applyPatternFormats="0" applyAlignmentFormats="0" applyWidthHeightFormats="1" dataCaption="Values" tag="801273d4-11e1-4152-9501-f371ea9d5af5" updatedVersion="8" minRefreshableVersion="3" subtotalHiddenItems="1" itemPrintTitles="1" createdVersion="5" indent="0" outline="1" outlineData="1" multipleFieldFilters="0" chartFormat="6">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1">
    <format dxfId="7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80D1FE-ADAC-42B2-8334-DE510ECF3B4D}" name="PivotTable9" cacheId="213"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74">
      <pivotArea outline="0" collapsedLevelsAreSubtotals="1" fieldPosition="0"/>
    </format>
    <format dxfId="7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AF9BBC-D1C4-43B5-BA96-0A74085C69BE}" name="PivotTable12" cacheId="222"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chartFormat="18">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5">
      <pivotArea outline="0" collapsedLevelsAreSubtotals="1" fieldPosition="0"/>
    </format>
  </formats>
  <chartFormats count="4">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3913A1-879D-4DD1-92EA-4607960F0F28}" name="PivotTable10" cacheId="216" applyNumberFormats="0" applyBorderFormats="0" applyFontFormats="0" applyPatternFormats="0" applyAlignmentFormats="0" applyWidthHeightFormats="1" dataCaption="Values" tag="bf276df7-b0b2-43f8-bdd9-d0e34cd98f79" updatedVersion="8" minRefreshableVersion="3" subtotalHiddenItems="1" itemPrintTitles="1" createdVersion="5" indent="0" outline="1" outlineData="1" multipleFieldFilters="0" chartFormat="5">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7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360FF31-D897-4C0F-A6C7-1949AE7CC49D}" sourceName="[Calender_Table].[Date (Month)]">
  <pivotTables>
    <pivotTable tabId="1" name="PivotTable5"/>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 tabId="1" name="PivotTable13"/>
    <pivotTable tabId="1" name="PivotTable4"/>
  </pivotTables>
  <data>
    <olap pivotCacheId="183572141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3823B9A-A6DD-4820-B96D-9815E9128384}" sourceName="[Calender_Table].[Date (Year)]">
  <pivotTables>
    <pivotTable tabId="1" name="PivotTable4"/>
    <pivotTable tabId="1" name="PivotTable1"/>
    <pivotTable tabId="1" name="PivotTable10"/>
    <pivotTable tabId="1" name="PivotTable11"/>
    <pivotTable tabId="1" name="PivotTable12"/>
    <pivotTable tabId="1" name="PivotTable13"/>
    <pivotTable tabId="1" name="PivotTable2"/>
    <pivotTable tabId="1" name="PivotTable3"/>
    <pivotTable tabId="1" name="PivotTable5"/>
    <pivotTable tabId="1" name="PivotTable7"/>
    <pivotTable tabId="1" name="PivotTable8"/>
    <pivotTable tabId="1" name="PivotTable9"/>
  </pivotTables>
  <data>
    <olap pivotCacheId="183572141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7576D79-52FA-4AE2-849F-D34E7A039493}" cache="Slicer_Date__Month" caption="Date (Month)" showCaption="0" level="1" style="my style" rowHeight="180000"/>
  <slicer name="Date (Year)" xr10:uid="{7893156F-4E43-44A8-AE9C-83898E8AF9B3}"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C860-1C1C-4B13-A276-3D866DF371AB}">
  <dimension ref="A2:K89"/>
  <sheetViews>
    <sheetView topLeftCell="A77" workbookViewId="0">
      <selection activeCell="A88" sqref="A88"/>
    </sheetView>
  </sheetViews>
  <sheetFormatPr defaultRowHeight="15" x14ac:dyDescent="0.25"/>
  <cols>
    <col min="1" max="1" width="21.42578125" customWidth="1"/>
    <col min="2" max="2" width="29.85546875" bestFit="1" customWidth="1"/>
    <col min="4" max="5" width="25.140625" bestFit="1" customWidth="1"/>
    <col min="8" max="8" width="26.85546875" bestFit="1" customWidth="1"/>
  </cols>
  <sheetData>
    <row r="2" spans="1:11" x14ac:dyDescent="0.25">
      <c r="A2" t="s">
        <v>1</v>
      </c>
      <c r="D2" t="s">
        <v>6</v>
      </c>
      <c r="G2" t="s">
        <v>7</v>
      </c>
      <c r="J2" t="s">
        <v>8</v>
      </c>
    </row>
    <row r="3" spans="1:11" x14ac:dyDescent="0.25">
      <c r="A3" t="s">
        <v>0</v>
      </c>
      <c r="D3" s="3" t="s">
        <v>4</v>
      </c>
      <c r="E3" t="s">
        <v>0</v>
      </c>
      <c r="G3" s="3" t="s">
        <v>4</v>
      </c>
      <c r="H3" t="s">
        <v>2</v>
      </c>
      <c r="J3" s="3" t="s">
        <v>4</v>
      </c>
      <c r="K3" t="s">
        <v>3</v>
      </c>
    </row>
    <row r="4" spans="1:11" x14ac:dyDescent="0.25">
      <c r="A4" s="11">
        <v>513</v>
      </c>
      <c r="D4" s="4" t="s">
        <v>43</v>
      </c>
      <c r="E4" s="11">
        <v>19</v>
      </c>
      <c r="G4" s="4" t="s">
        <v>43</v>
      </c>
      <c r="H4" s="5">
        <v>37.789473684210527</v>
      </c>
      <c r="J4" s="4" t="s">
        <v>43</v>
      </c>
      <c r="K4" s="5">
        <v>6.666666666666667</v>
      </c>
    </row>
    <row r="5" spans="1:11" x14ac:dyDescent="0.25">
      <c r="D5" s="4" t="s">
        <v>44</v>
      </c>
      <c r="E5" s="11">
        <v>14</v>
      </c>
      <c r="G5" s="4" t="s">
        <v>44</v>
      </c>
      <c r="H5" s="5">
        <v>38.214285714285715</v>
      </c>
      <c r="J5" s="4" t="s">
        <v>44</v>
      </c>
      <c r="K5" s="5">
        <v>3.5</v>
      </c>
    </row>
    <row r="6" spans="1:11" x14ac:dyDescent="0.25">
      <c r="D6" s="4" t="s">
        <v>45</v>
      </c>
      <c r="E6" s="11">
        <v>13</v>
      </c>
      <c r="G6" s="4" t="s">
        <v>45</v>
      </c>
      <c r="H6" s="5">
        <v>40.92307692307692</v>
      </c>
      <c r="J6" s="4" t="s">
        <v>45</v>
      </c>
      <c r="K6" s="5">
        <v>4.5</v>
      </c>
    </row>
    <row r="7" spans="1:11" x14ac:dyDescent="0.25">
      <c r="D7" s="4" t="s">
        <v>46</v>
      </c>
      <c r="E7" s="11">
        <v>22</v>
      </c>
      <c r="G7" s="4" t="s">
        <v>46</v>
      </c>
      <c r="H7" s="5">
        <v>34.5</v>
      </c>
      <c r="J7" s="4" t="s">
        <v>46</v>
      </c>
      <c r="K7" s="5">
        <v>4.8</v>
      </c>
    </row>
    <row r="8" spans="1:11" x14ac:dyDescent="0.25">
      <c r="A8" t="s">
        <v>2</v>
      </c>
      <c r="D8" s="4" t="s">
        <v>47</v>
      </c>
      <c r="E8" s="11">
        <v>19</v>
      </c>
      <c r="G8" s="4" t="s">
        <v>47</v>
      </c>
      <c r="H8" s="5">
        <v>30.684210526315791</v>
      </c>
      <c r="J8" s="4" t="s">
        <v>47</v>
      </c>
      <c r="K8" s="5">
        <v>7.75</v>
      </c>
    </row>
    <row r="9" spans="1:11" x14ac:dyDescent="0.25">
      <c r="A9" s="1">
        <v>36.323586744639378</v>
      </c>
      <c r="D9" s="4" t="s">
        <v>48</v>
      </c>
      <c r="E9" s="11">
        <v>15</v>
      </c>
      <c r="G9" s="4" t="s">
        <v>48</v>
      </c>
      <c r="H9" s="5">
        <v>37.666666666666664</v>
      </c>
      <c r="J9" s="4" t="s">
        <v>48</v>
      </c>
      <c r="K9" s="5">
        <v>6.2</v>
      </c>
    </row>
    <row r="10" spans="1:11" x14ac:dyDescent="0.25">
      <c r="D10" s="4" t="s">
        <v>49</v>
      </c>
      <c r="E10" s="11">
        <v>12</v>
      </c>
      <c r="G10" s="4" t="s">
        <v>49</v>
      </c>
      <c r="H10" s="5">
        <v>36.083333333333336</v>
      </c>
      <c r="J10" s="4" t="s">
        <v>49</v>
      </c>
      <c r="K10" s="5">
        <v>3.75</v>
      </c>
    </row>
    <row r="11" spans="1:11" x14ac:dyDescent="0.25">
      <c r="A11" t="s">
        <v>3</v>
      </c>
      <c r="D11" s="4" t="s">
        <v>50</v>
      </c>
      <c r="E11" s="11">
        <v>21</v>
      </c>
      <c r="G11" s="4" t="s">
        <v>50</v>
      </c>
      <c r="H11" s="5">
        <v>43.523809523809526</v>
      </c>
      <c r="J11" s="4" t="s">
        <v>50</v>
      </c>
      <c r="K11" s="5">
        <v>6.5</v>
      </c>
    </row>
    <row r="12" spans="1:11" x14ac:dyDescent="0.25">
      <c r="A12" s="1">
        <v>4.9591836734693882</v>
      </c>
      <c r="D12" s="4" t="s">
        <v>51</v>
      </c>
      <c r="E12" s="11">
        <v>12</v>
      </c>
      <c r="G12" s="4" t="s">
        <v>51</v>
      </c>
      <c r="H12" s="5">
        <v>29.5</v>
      </c>
      <c r="J12" s="4" t="s">
        <v>51</v>
      </c>
      <c r="K12" s="5">
        <v>3</v>
      </c>
    </row>
    <row r="13" spans="1:11" x14ac:dyDescent="0.25">
      <c r="D13" s="4" t="s">
        <v>52</v>
      </c>
      <c r="E13" s="11">
        <v>13</v>
      </c>
      <c r="G13" s="4" t="s">
        <v>52</v>
      </c>
      <c r="H13" s="5">
        <v>38.07692307692308</v>
      </c>
      <c r="J13" s="4" t="s">
        <v>52</v>
      </c>
      <c r="K13" s="5">
        <v>4.5</v>
      </c>
    </row>
    <row r="14" spans="1:11" x14ac:dyDescent="0.25">
      <c r="D14" s="4" t="s">
        <v>53</v>
      </c>
      <c r="E14" s="11">
        <v>13</v>
      </c>
      <c r="G14" s="4" t="s">
        <v>53</v>
      </c>
      <c r="H14" s="5">
        <v>35.846153846153847</v>
      </c>
      <c r="J14" s="4" t="s">
        <v>53</v>
      </c>
      <c r="K14" s="5">
        <v>6</v>
      </c>
    </row>
    <row r="15" spans="1:11" x14ac:dyDescent="0.25">
      <c r="D15" s="4" t="s">
        <v>54</v>
      </c>
      <c r="E15" s="11">
        <v>16</v>
      </c>
      <c r="G15" s="4" t="s">
        <v>54</v>
      </c>
      <c r="H15" s="5">
        <v>32.625</v>
      </c>
      <c r="J15" s="4" t="s">
        <v>54</v>
      </c>
      <c r="K15" s="5">
        <v>5.2</v>
      </c>
    </row>
    <row r="16" spans="1:11" x14ac:dyDescent="0.25">
      <c r="D16" s="4" t="s">
        <v>55</v>
      </c>
      <c r="E16" s="11">
        <v>20</v>
      </c>
      <c r="G16" s="4" t="s">
        <v>55</v>
      </c>
      <c r="H16" s="5">
        <v>39.200000000000003</v>
      </c>
      <c r="J16" s="4" t="s">
        <v>55</v>
      </c>
      <c r="K16" s="5">
        <v>4.4000000000000004</v>
      </c>
    </row>
    <row r="17" spans="4:11" x14ac:dyDescent="0.25">
      <c r="D17" s="4" t="s">
        <v>56</v>
      </c>
      <c r="E17" s="11">
        <v>25</v>
      </c>
      <c r="G17" s="4" t="s">
        <v>56</v>
      </c>
      <c r="H17" s="5">
        <v>35.28</v>
      </c>
      <c r="J17" s="4" t="s">
        <v>56</v>
      </c>
      <c r="K17" s="5">
        <v>3.4545454545454546</v>
      </c>
    </row>
    <row r="18" spans="4:11" x14ac:dyDescent="0.25">
      <c r="D18" s="4" t="s">
        <v>57</v>
      </c>
      <c r="E18" s="11">
        <v>20</v>
      </c>
      <c r="G18" s="4" t="s">
        <v>57</v>
      </c>
      <c r="H18" s="5">
        <v>32.549999999999997</v>
      </c>
      <c r="J18" s="4" t="s">
        <v>57</v>
      </c>
      <c r="K18" s="5">
        <v>4.4000000000000004</v>
      </c>
    </row>
    <row r="19" spans="4:11" x14ac:dyDescent="0.25">
      <c r="D19" s="4" t="s">
        <v>58</v>
      </c>
      <c r="E19" s="11">
        <v>14</v>
      </c>
      <c r="G19" s="4" t="s">
        <v>58</v>
      </c>
      <c r="H19" s="5">
        <v>35.642857142857146</v>
      </c>
      <c r="J19" s="4" t="s">
        <v>58</v>
      </c>
      <c r="K19" s="5">
        <v>5.833333333333333</v>
      </c>
    </row>
    <row r="20" spans="4:11" x14ac:dyDescent="0.25">
      <c r="D20" s="4" t="s">
        <v>59</v>
      </c>
      <c r="E20" s="11">
        <v>17</v>
      </c>
      <c r="G20" s="4" t="s">
        <v>59</v>
      </c>
      <c r="H20" s="5">
        <v>38.764705882352942</v>
      </c>
      <c r="J20" s="4" t="s">
        <v>59</v>
      </c>
      <c r="K20" s="5">
        <v>4.4444444444444446</v>
      </c>
    </row>
    <row r="21" spans="4:11" x14ac:dyDescent="0.25">
      <c r="D21" s="4" t="s">
        <v>60</v>
      </c>
      <c r="E21" s="11">
        <v>20</v>
      </c>
      <c r="G21" s="4" t="s">
        <v>60</v>
      </c>
      <c r="H21" s="5">
        <v>39.9</v>
      </c>
      <c r="J21" s="4" t="s">
        <v>60</v>
      </c>
      <c r="K21" s="5">
        <v>5.333333333333333</v>
      </c>
    </row>
    <row r="22" spans="4:11" x14ac:dyDescent="0.25">
      <c r="D22" s="4" t="s">
        <v>61</v>
      </c>
      <c r="E22" s="11">
        <v>10</v>
      </c>
      <c r="G22" s="4" t="s">
        <v>61</v>
      </c>
      <c r="H22" s="5">
        <v>41.6</v>
      </c>
      <c r="J22" s="4" t="s">
        <v>61</v>
      </c>
      <c r="K22" s="5">
        <v>5.333333333333333</v>
      </c>
    </row>
    <row r="23" spans="4:11" x14ac:dyDescent="0.25">
      <c r="D23" s="4" t="s">
        <v>62</v>
      </c>
      <c r="E23" s="11">
        <v>17</v>
      </c>
      <c r="G23" s="4" t="s">
        <v>62</v>
      </c>
      <c r="H23" s="5">
        <v>39.470588235294116</v>
      </c>
      <c r="J23" s="4" t="s">
        <v>62</v>
      </c>
      <c r="K23" s="5">
        <v>5.5714285714285712</v>
      </c>
    </row>
    <row r="24" spans="4:11" x14ac:dyDescent="0.25">
      <c r="D24" s="4" t="s">
        <v>63</v>
      </c>
      <c r="E24" s="11">
        <v>15</v>
      </c>
      <c r="G24" s="4" t="s">
        <v>63</v>
      </c>
      <c r="H24" s="5">
        <v>27.733333333333334</v>
      </c>
      <c r="J24" s="4" t="s">
        <v>63</v>
      </c>
      <c r="K24" s="5">
        <v>5</v>
      </c>
    </row>
    <row r="25" spans="4:11" x14ac:dyDescent="0.25">
      <c r="D25" s="4" t="s">
        <v>64</v>
      </c>
      <c r="E25" s="11">
        <v>16</v>
      </c>
      <c r="G25" s="4" t="s">
        <v>64</v>
      </c>
      <c r="H25" s="5">
        <v>36.875</v>
      </c>
      <c r="J25" s="4" t="s">
        <v>64</v>
      </c>
      <c r="K25" s="5">
        <v>6.4</v>
      </c>
    </row>
    <row r="26" spans="4:11" x14ac:dyDescent="0.25">
      <c r="D26" s="4" t="s">
        <v>65</v>
      </c>
      <c r="E26" s="11">
        <v>18</v>
      </c>
      <c r="G26" s="4" t="s">
        <v>65</v>
      </c>
      <c r="H26" s="5">
        <v>40.333333333333336</v>
      </c>
      <c r="J26" s="4" t="s">
        <v>65</v>
      </c>
      <c r="K26" s="5">
        <v>5.333333333333333</v>
      </c>
    </row>
    <row r="27" spans="4:11" x14ac:dyDescent="0.25">
      <c r="D27" s="4" t="s">
        <v>66</v>
      </c>
      <c r="E27" s="11">
        <v>16</v>
      </c>
      <c r="G27" s="4" t="s">
        <v>66</v>
      </c>
      <c r="H27" s="5">
        <v>36.5</v>
      </c>
      <c r="J27" s="4" t="s">
        <v>66</v>
      </c>
      <c r="K27" s="5">
        <v>3.75</v>
      </c>
    </row>
    <row r="28" spans="4:11" x14ac:dyDescent="0.25">
      <c r="D28" s="4" t="s">
        <v>67</v>
      </c>
      <c r="E28" s="11">
        <v>15</v>
      </c>
      <c r="G28" s="4" t="s">
        <v>67</v>
      </c>
      <c r="H28" s="5">
        <v>32.866666666666667</v>
      </c>
      <c r="J28" s="4" t="s">
        <v>67</v>
      </c>
      <c r="K28" s="5">
        <v>6.333333333333333</v>
      </c>
    </row>
    <row r="29" spans="4:11" x14ac:dyDescent="0.25">
      <c r="D29" s="4" t="s">
        <v>68</v>
      </c>
      <c r="E29" s="11">
        <v>14</v>
      </c>
      <c r="G29" s="4" t="s">
        <v>68</v>
      </c>
      <c r="H29" s="5">
        <v>36.642857142857146</v>
      </c>
      <c r="J29" s="4" t="s">
        <v>68</v>
      </c>
      <c r="K29" s="5">
        <v>10</v>
      </c>
    </row>
    <row r="30" spans="4:11" x14ac:dyDescent="0.25">
      <c r="D30" s="4" t="s">
        <v>69</v>
      </c>
      <c r="E30" s="11">
        <v>16</v>
      </c>
      <c r="G30" s="4" t="s">
        <v>69</v>
      </c>
      <c r="H30" s="5">
        <v>36.5625</v>
      </c>
      <c r="J30" s="4" t="s">
        <v>69</v>
      </c>
      <c r="K30" s="5">
        <v>5</v>
      </c>
    </row>
    <row r="31" spans="4:11" x14ac:dyDescent="0.25">
      <c r="D31" s="4" t="s">
        <v>70</v>
      </c>
      <c r="E31" s="11">
        <v>20</v>
      </c>
      <c r="G31" s="4" t="s">
        <v>70</v>
      </c>
      <c r="H31" s="5">
        <v>32.15</v>
      </c>
      <c r="J31" s="4" t="s">
        <v>70</v>
      </c>
      <c r="K31" s="5">
        <v>5.333333333333333</v>
      </c>
    </row>
    <row r="32" spans="4:11" x14ac:dyDescent="0.25">
      <c r="D32" s="4" t="s">
        <v>71</v>
      </c>
      <c r="E32" s="11">
        <v>19</v>
      </c>
      <c r="G32" s="4" t="s">
        <v>71</v>
      </c>
      <c r="H32" s="5">
        <v>38.368421052631582</v>
      </c>
      <c r="J32" s="4" t="s">
        <v>71</v>
      </c>
      <c r="K32" s="5">
        <v>4.8</v>
      </c>
    </row>
    <row r="33" spans="1:11" x14ac:dyDescent="0.25">
      <c r="D33" s="4" t="s">
        <v>72</v>
      </c>
      <c r="E33" s="11">
        <v>14</v>
      </c>
      <c r="G33" s="4" t="s">
        <v>72</v>
      </c>
      <c r="H33" s="5">
        <v>33.071428571428569</v>
      </c>
      <c r="J33" s="4" t="s">
        <v>72</v>
      </c>
      <c r="K33" s="5">
        <v>5</v>
      </c>
    </row>
    <row r="34" spans="1:11" x14ac:dyDescent="0.25">
      <c r="D34" s="4" t="s">
        <v>73</v>
      </c>
      <c r="E34" s="11">
        <v>18</v>
      </c>
      <c r="G34" s="4" t="s">
        <v>73</v>
      </c>
      <c r="H34" s="5">
        <v>36.444444444444443</v>
      </c>
      <c r="J34" s="4" t="s">
        <v>73</v>
      </c>
      <c r="K34" s="5">
        <v>1.4</v>
      </c>
    </row>
    <row r="35" spans="1:11" x14ac:dyDescent="0.25">
      <c r="D35" s="4" t="s">
        <v>5</v>
      </c>
      <c r="E35" s="11">
        <v>513</v>
      </c>
      <c r="G35" s="4" t="s">
        <v>5</v>
      </c>
      <c r="H35" s="5">
        <v>36.323586744639378</v>
      </c>
      <c r="J35" s="4" t="s">
        <v>5</v>
      </c>
      <c r="K35" s="5">
        <v>4.9591836734693882</v>
      </c>
    </row>
    <row r="38" spans="1:11" x14ac:dyDescent="0.25">
      <c r="A38" s="3" t="s">
        <v>4</v>
      </c>
      <c r="B38" t="s">
        <v>9</v>
      </c>
      <c r="C38" t="s">
        <v>12</v>
      </c>
    </row>
    <row r="39" spans="1:11" x14ac:dyDescent="0.25">
      <c r="A39" s="4" t="s">
        <v>10</v>
      </c>
      <c r="B39" s="1">
        <v>269</v>
      </c>
      <c r="C39" s="6">
        <v>0.52436647173489281</v>
      </c>
    </row>
    <row r="40" spans="1:11" x14ac:dyDescent="0.25">
      <c r="A40" s="4" t="s">
        <v>11</v>
      </c>
      <c r="B40" s="1">
        <v>244</v>
      </c>
      <c r="C40" s="6">
        <v>0.47563352826510719</v>
      </c>
    </row>
    <row r="41" spans="1:11" x14ac:dyDescent="0.25">
      <c r="A41" s="4" t="s">
        <v>5</v>
      </c>
      <c r="B41" s="1">
        <v>513</v>
      </c>
      <c r="C41" s="6">
        <v>1</v>
      </c>
    </row>
    <row r="44" spans="1:11" x14ac:dyDescent="0.25">
      <c r="A44" s="9" t="s">
        <v>13</v>
      </c>
      <c r="B44" s="9" t="s">
        <v>15</v>
      </c>
      <c r="C44" s="9" t="s">
        <v>14</v>
      </c>
      <c r="D44" s="9"/>
    </row>
    <row r="45" spans="1:11" x14ac:dyDescent="0.25">
      <c r="A45" s="7" t="str">
        <f>A40</f>
        <v>Not Admitted</v>
      </c>
      <c r="B45" s="7">
        <f>B40</f>
        <v>244</v>
      </c>
      <c r="C45" s="8">
        <f>C40</f>
        <v>0.47563352826510719</v>
      </c>
      <c r="D45" s="7"/>
    </row>
    <row r="46" spans="1:11" x14ac:dyDescent="0.25">
      <c r="A46" s="7" t="str">
        <f>A39</f>
        <v>Admitted</v>
      </c>
      <c r="B46" s="7">
        <f>B39</f>
        <v>269</v>
      </c>
      <c r="C46" s="8">
        <f>C39</f>
        <v>0.52436647173489281</v>
      </c>
      <c r="D46" s="7"/>
    </row>
    <row r="49" spans="1:2" x14ac:dyDescent="0.25">
      <c r="A49" t="s">
        <v>25</v>
      </c>
    </row>
    <row r="50" spans="1:2" x14ac:dyDescent="0.25">
      <c r="A50" s="3" t="s">
        <v>4</v>
      </c>
      <c r="B50" t="s">
        <v>24</v>
      </c>
    </row>
    <row r="51" spans="1:2" x14ac:dyDescent="0.25">
      <c r="A51" s="4" t="s">
        <v>16</v>
      </c>
      <c r="B51" s="10">
        <v>76</v>
      </c>
    </row>
    <row r="52" spans="1:2" x14ac:dyDescent="0.25">
      <c r="A52" s="4" t="s">
        <v>17</v>
      </c>
      <c r="B52" s="10">
        <v>69</v>
      </c>
    </row>
    <row r="53" spans="1:2" x14ac:dyDescent="0.25">
      <c r="A53" s="4" t="s">
        <v>18</v>
      </c>
      <c r="B53" s="10">
        <v>64</v>
      </c>
    </row>
    <row r="54" spans="1:2" x14ac:dyDescent="0.25">
      <c r="A54" s="4" t="s">
        <v>19</v>
      </c>
      <c r="B54" s="10">
        <v>59</v>
      </c>
    </row>
    <row r="55" spans="1:2" x14ac:dyDescent="0.25">
      <c r="A55" s="4" t="s">
        <v>20</v>
      </c>
      <c r="B55" s="10">
        <v>58</v>
      </c>
    </row>
    <row r="56" spans="1:2" x14ac:dyDescent="0.25">
      <c r="A56" s="4" t="s">
        <v>21</v>
      </c>
      <c r="B56" s="10">
        <v>66</v>
      </c>
    </row>
    <row r="57" spans="1:2" x14ac:dyDescent="0.25">
      <c r="A57" s="4" t="s">
        <v>22</v>
      </c>
      <c r="B57" s="10">
        <v>67</v>
      </c>
    </row>
    <row r="58" spans="1:2" x14ac:dyDescent="0.25">
      <c r="A58" s="4" t="s">
        <v>23</v>
      </c>
      <c r="B58" s="10">
        <v>54</v>
      </c>
    </row>
    <row r="59" spans="1:2" x14ac:dyDescent="0.25">
      <c r="A59" s="4" t="s">
        <v>5</v>
      </c>
      <c r="B59" s="10">
        <v>513</v>
      </c>
    </row>
    <row r="62" spans="1:2" x14ac:dyDescent="0.25">
      <c r="A62" s="3" t="s">
        <v>4</v>
      </c>
      <c r="B62" t="s">
        <v>28</v>
      </c>
    </row>
    <row r="63" spans="1:2" x14ac:dyDescent="0.25">
      <c r="A63" s="4" t="s">
        <v>26</v>
      </c>
      <c r="B63" s="10">
        <v>316</v>
      </c>
    </row>
    <row r="64" spans="1:2" x14ac:dyDescent="0.25">
      <c r="A64" s="4" t="s">
        <v>27</v>
      </c>
      <c r="B64" s="10">
        <v>197</v>
      </c>
    </row>
    <row r="65" spans="1:2" x14ac:dyDescent="0.25">
      <c r="A65" s="4" t="s">
        <v>5</v>
      </c>
      <c r="B65" s="10">
        <v>513</v>
      </c>
    </row>
    <row r="67" spans="1:2" x14ac:dyDescent="0.25">
      <c r="A67" s="4" t="s">
        <v>32</v>
      </c>
    </row>
    <row r="68" spans="1:2" x14ac:dyDescent="0.25">
      <c r="A68" s="3" t="s">
        <v>4</v>
      </c>
      <c r="B68" t="s">
        <v>31</v>
      </c>
    </row>
    <row r="69" spans="1:2" x14ac:dyDescent="0.25">
      <c r="A69" s="4" t="s">
        <v>29</v>
      </c>
      <c r="B69" s="10">
        <v>241</v>
      </c>
    </row>
    <row r="70" spans="1:2" x14ac:dyDescent="0.25">
      <c r="A70" s="4" t="s">
        <v>30</v>
      </c>
      <c r="B70" s="10">
        <v>272</v>
      </c>
    </row>
    <row r="71" spans="1:2" x14ac:dyDescent="0.25">
      <c r="A71" s="4" t="s">
        <v>5</v>
      </c>
      <c r="B71" s="10">
        <v>513</v>
      </c>
    </row>
    <row r="74" spans="1:2" x14ac:dyDescent="0.25">
      <c r="A74" s="3" t="s">
        <v>4</v>
      </c>
      <c r="B74" t="s">
        <v>41</v>
      </c>
    </row>
    <row r="75" spans="1:2" x14ac:dyDescent="0.25">
      <c r="A75" s="4" t="s">
        <v>34</v>
      </c>
      <c r="B75" s="10">
        <v>4</v>
      </c>
    </row>
    <row r="76" spans="1:2" x14ac:dyDescent="0.25">
      <c r="A76" s="4" t="s">
        <v>40</v>
      </c>
      <c r="B76" s="10">
        <v>5</v>
      </c>
    </row>
    <row r="77" spans="1:2" x14ac:dyDescent="0.25">
      <c r="A77" s="4" t="s">
        <v>36</v>
      </c>
      <c r="B77" s="10">
        <v>9</v>
      </c>
    </row>
    <row r="78" spans="1:2" x14ac:dyDescent="0.25">
      <c r="A78" s="4" t="s">
        <v>39</v>
      </c>
      <c r="B78" s="10">
        <v>14</v>
      </c>
    </row>
    <row r="79" spans="1:2" x14ac:dyDescent="0.25">
      <c r="A79" s="4" t="s">
        <v>33</v>
      </c>
      <c r="B79" s="10">
        <v>14</v>
      </c>
    </row>
    <row r="80" spans="1:2" x14ac:dyDescent="0.25">
      <c r="A80" s="4" t="s">
        <v>38</v>
      </c>
      <c r="B80" s="10">
        <v>65</v>
      </c>
    </row>
    <row r="81" spans="1:2" x14ac:dyDescent="0.25">
      <c r="A81" s="4" t="s">
        <v>35</v>
      </c>
      <c r="B81" s="10">
        <v>103</v>
      </c>
    </row>
    <row r="82" spans="1:2" x14ac:dyDescent="0.25">
      <c r="A82" s="4" t="s">
        <v>37</v>
      </c>
      <c r="B82" s="10">
        <v>299</v>
      </c>
    </row>
    <row r="83" spans="1:2" x14ac:dyDescent="0.25">
      <c r="A83" s="4" t="s">
        <v>5</v>
      </c>
      <c r="B83" s="10">
        <v>513</v>
      </c>
    </row>
    <row r="87" spans="1:2" x14ac:dyDescent="0.25">
      <c r="A87" s="3" t="s">
        <v>4</v>
      </c>
    </row>
    <row r="88" spans="1:2" x14ac:dyDescent="0.25">
      <c r="A88" s="4" t="s">
        <v>42</v>
      </c>
    </row>
    <row r="89" spans="1:2" x14ac:dyDescent="0.25">
      <c r="A89"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708C-CEA1-4728-9190-CF8CDD2B40E2}">
  <dimension ref="A1"/>
  <sheetViews>
    <sheetView tabSelected="1" zoomScale="168" zoomScaleNormal="170" workbookViewId="0">
      <selection activeCell="I8" sqref="I8"/>
    </sheetView>
  </sheetViews>
  <sheetFormatPr defaultRowHeight="15" x14ac:dyDescent="0.25"/>
  <cols>
    <col min="1" max="1" width="14.28515625" style="2" customWidth="1"/>
    <col min="2" max="2" width="18.140625" style="2" customWidth="1"/>
    <col min="3" max="3" width="23.42578125" style="2" customWidth="1"/>
    <col min="4" max="4" width="19.85546875" style="2" customWidth="1"/>
    <col min="5" max="5" width="23.5703125" style="2" customWidth="1"/>
    <col min="6" max="6" width="21.28515625" style="2" customWidth="1"/>
    <col min="7" max="10" width="9.140625" style="2"/>
    <col min="11" max="11" width="12" style="2" customWidth="1"/>
    <col min="12" max="16384" width="9.14062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EEA1C42-AEEA-4506-A5B6-942DD2F36967}">
  <ds:schemaRefs/>
</ds:datastoreItem>
</file>

<file path=customXml/itemProps2.xml><?xml version="1.0" encoding="utf-8"?>
<ds:datastoreItem xmlns:ds="http://schemas.openxmlformats.org/officeDocument/2006/customXml" ds:itemID="{E843AAFE-F774-4D9E-9A59-B786E008E86C}">
  <ds:schemaRefs/>
</ds:datastoreItem>
</file>

<file path=customXml/itemProps3.xml><?xml version="1.0" encoding="utf-8"?>
<ds:datastoreItem xmlns:ds="http://schemas.openxmlformats.org/officeDocument/2006/customXml" ds:itemID="{2BA175D8-2959-4F5F-BA27-C34721A66893}">
  <ds:schemaRefs/>
</ds:datastoreItem>
</file>

<file path=customXml/itemProps4.xml><?xml version="1.0" encoding="utf-8"?>
<ds:datastoreItem xmlns:ds="http://schemas.openxmlformats.org/officeDocument/2006/customXml" ds:itemID="{801A2307-1EBD-46CD-9EEF-D5940B29E9E7}">
  <ds:schemaRefs/>
</ds:datastoreItem>
</file>

<file path=customXml/itemProps5.xml><?xml version="1.0" encoding="utf-8"?>
<ds:datastoreItem xmlns:ds="http://schemas.openxmlformats.org/officeDocument/2006/customXml" ds:itemID="{9139F169-9698-49B2-8C97-20D4612D54ED}">
  <ds:schemaRefs/>
</ds:datastoreItem>
</file>

<file path=customXml/itemProps6.xml><?xml version="1.0" encoding="utf-8"?>
<ds:datastoreItem xmlns:ds="http://schemas.openxmlformats.org/officeDocument/2006/customXml" ds:itemID="{9F8ECAEA-0704-4A8C-99A2-60BE4043AE5E}">
  <ds:schemaRefs/>
</ds:datastoreItem>
</file>

<file path=customXml/itemProps7.xml><?xml version="1.0" encoding="utf-8"?>
<ds:datastoreItem xmlns:ds="http://schemas.openxmlformats.org/officeDocument/2006/customXml" ds:itemID="{F3F3217F-8E51-4612-A953-E0669031CFB5}">
  <ds:schemaRefs/>
</ds:datastoreItem>
</file>

<file path=customXml/itemProps8.xml><?xml version="1.0" encoding="utf-8"?>
<ds:datastoreItem xmlns:ds="http://schemas.openxmlformats.org/officeDocument/2006/customXml" ds:itemID="{3F35EDE5-021E-4362-8B80-30F86AF28C73}">
  <ds:schemaRefs/>
</ds:datastoreItem>
</file>

<file path=customXml/itemProps9.xml><?xml version="1.0" encoding="utf-8"?>
<ds:datastoreItem xmlns:ds="http://schemas.openxmlformats.org/officeDocument/2006/customXml" ds:itemID="{FD507779-5397-4DC6-B0E2-019293689E60}">
  <ds:schemaRefs/>
</ds:datastoreItem>
</file>

<file path=customXml/itemProps10.xml><?xml version="1.0" encoding="utf-8"?>
<ds:datastoreItem xmlns:ds="http://schemas.openxmlformats.org/officeDocument/2006/customXml" ds:itemID="{23087954-56B2-4B77-842C-7A85A1759E70}">
  <ds:schemaRefs/>
</ds:datastoreItem>
</file>

<file path=customXml/itemProps11.xml><?xml version="1.0" encoding="utf-8"?>
<ds:datastoreItem xmlns:ds="http://schemas.openxmlformats.org/officeDocument/2006/customXml" ds:itemID="{B468206B-58CA-4341-B517-08E2D2C4B8F0}">
  <ds:schemaRefs/>
</ds:datastoreItem>
</file>

<file path=customXml/itemProps12.xml><?xml version="1.0" encoding="utf-8"?>
<ds:datastoreItem xmlns:ds="http://schemas.openxmlformats.org/officeDocument/2006/customXml" ds:itemID="{7A43CB29-FB8A-431B-8D32-7736CDA0511A}">
  <ds:schemaRefs/>
</ds:datastoreItem>
</file>

<file path=customXml/itemProps13.xml><?xml version="1.0" encoding="utf-8"?>
<ds:datastoreItem xmlns:ds="http://schemas.openxmlformats.org/officeDocument/2006/customXml" ds:itemID="{43739570-91FA-45DD-B616-1C60A5E330AD}">
  <ds:schemaRefs/>
</ds:datastoreItem>
</file>

<file path=customXml/itemProps14.xml><?xml version="1.0" encoding="utf-8"?>
<ds:datastoreItem xmlns:ds="http://schemas.openxmlformats.org/officeDocument/2006/customXml" ds:itemID="{5E8DC037-016C-47B6-BC4C-8FCF8B6CBE59}">
  <ds:schemaRefs/>
</ds:datastoreItem>
</file>

<file path=customXml/itemProps15.xml><?xml version="1.0" encoding="utf-8"?>
<ds:datastoreItem xmlns:ds="http://schemas.openxmlformats.org/officeDocument/2006/customXml" ds:itemID="{A8B731A5-0438-4CF0-98A8-3B4CA62E0D6D}">
  <ds:schemaRefs/>
</ds:datastoreItem>
</file>

<file path=customXml/itemProps16.xml><?xml version="1.0" encoding="utf-8"?>
<ds:datastoreItem xmlns:ds="http://schemas.openxmlformats.org/officeDocument/2006/customXml" ds:itemID="{24401DE2-BF46-4539-8ED0-118F2A1DA230}">
  <ds:schemaRefs/>
</ds:datastoreItem>
</file>

<file path=customXml/itemProps17.xml><?xml version="1.0" encoding="utf-8"?>
<ds:datastoreItem xmlns:ds="http://schemas.openxmlformats.org/officeDocument/2006/customXml" ds:itemID="{CF034091-4413-42AE-9600-BD755EE52E15}">
  <ds:schemaRefs/>
</ds:datastoreItem>
</file>

<file path=customXml/itemProps18.xml><?xml version="1.0" encoding="utf-8"?>
<ds:datastoreItem xmlns:ds="http://schemas.openxmlformats.org/officeDocument/2006/customXml" ds:itemID="{D0FB19F0-6AE3-4C6F-9EA2-D29D331076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Anand</dc:creator>
  <cp:lastModifiedBy>Anubhav Anand</cp:lastModifiedBy>
  <dcterms:created xsi:type="dcterms:W3CDTF">2026-02-09T14:54:38Z</dcterms:created>
  <dcterms:modified xsi:type="dcterms:W3CDTF">2026-02-10T21:44:15Z</dcterms:modified>
</cp:coreProperties>
</file>